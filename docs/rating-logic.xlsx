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 system &amp; values" sheetId="1" state="visible" r:id="rId3"/>
    <sheet name="Logi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<sst xmlns="http://schemas.openxmlformats.org/spreadsheetml/2006/main" count="500" uniqueCount="425">
  <si>
    <t xml:space="preserve">spotlog · what works at a spot, learned from your sessions</t>
  </si>
  <si>
    <t xml:space="preserve">Blue on yellow = you can change it. Black = calculated. Same maths as src/lib/predict.ts in spotlog 0.13, shown for one windsurf spot (windsurf, kite and wing learn wind, direction, gusts and waves). Change sessions in section 5 or today in section 4 and follow it through sections 6 and 7.</t>
  </si>
  <si>
    <t xml:space="preserve">1 · Settings of the learning</t>
  </si>
  <si>
    <t xml:space="preserve">The same for everyone today. Every formula below points here, so you can try other values.</t>
  </si>
  <si>
    <t xml:space="preserve">Setting</t>
  </si>
  <si>
    <t xml:space="preserve">Value</t>
  </si>
  <si>
    <t xml:space="preserve">Unit</t>
  </si>
  <si>
    <t xml:space="preserve">What it means</t>
  </si>
  <si>
    <t xml:space="preserve">Great sessions to learn a range</t>
  </si>
  <si>
    <t xml:space="preserve">sessions</t>
  </si>
  <si>
    <t xml:space="preserve">With fewer great (4–5) sessions, sessions rated 3+ are used; with fewer of those, your wind window.</t>
  </si>
  <si>
    <t xml:space="preserve">Ignore the outer 10 % from</t>
  </si>
  <si>
    <t xml:space="preserve">With this many, one odd day doesn't stretch the range (10th–90th percentile instead of min–max).</t>
  </si>
  <si>
    <t xml:space="preserve">Widen learned ranges by</t>
  </si>
  <si>
    <t xml:space="preserve">× value</t>
  </si>
  <si>
    <t xml:space="preserve">A learned range is 10 % wider on each side than your great sessions.</t>
  </si>
  <si>
    <t xml:space="preserve">Direction: around each great session</t>
  </si>
  <si>
    <t xml:space="preserve">°</t>
  </si>
  <si>
    <t xml:space="preserve">A direction counts as inside when it is within 20° of a great session's direction.</t>
  </si>
  <si>
    <t xml:space="preserve">Direction: wind window sector</t>
  </si>
  <si>
    <t xml:space="preserve">Before directions are learned: each ticked direction covers ±22.5°.</t>
  </si>
  <si>
    <t xml:space="preserve">Fit drops to 0 at</t>
  </si>
  <si>
    <t xml:space="preserve">× beyond edge</t>
  </si>
  <si>
    <t xml:space="preserve">Outside a range the fit falls smoothly: 25 % beyond the edge = no fit.</t>
  </si>
  <si>
    <t xml:space="preserve">Direction fit drops to 0 at</t>
  </si>
  <si>
    <t xml:space="preserve">° beyond</t>
  </si>
  <si>
    <t xml:space="preserve">Gust factor: wind at least</t>
  </si>
  <si>
    <t xml:space="preserve">m/s</t>
  </si>
  <si>
    <t xml:space="preserve">Gust factor = gusts ÷ wind; very light wind counts as 2 m/s so it doesn't explode.</t>
  </si>
  <si>
    <t xml:space="preserve">Importance before poor sessions</t>
  </si>
  <si>
    <t xml:space="preserve">0–1</t>
  </si>
  <si>
    <t xml:space="preserve">Every condition starts as "matters". Poor sessions then show what really decides the day.</t>
  </si>
  <si>
    <t xml:space="preserve">That start counts as</t>
  </si>
  <si>
    <t xml:space="preserve">poor sessions</t>
  </si>
  <si>
    <t xml:space="preserve">How quickly poor sessions change the importance.</t>
  </si>
  <si>
    <t xml:space="preserve">A perfect fit means at first</t>
  </si>
  <si>
    <t xml:space="preserve">1–5</t>
  </si>
  <si>
    <t xml:space="preserve">Before your sessions say how good fitting days are: between good and great.</t>
  </si>
  <si>
    <t xml:space="preserve">One great session doesn't make every fitting day "epic".</t>
  </si>
  <si>
    <t xml:space="preserve">A session "fits" from score</t>
  </si>
  <si>
    <t xml:space="preserve">Sessions this close to what works tell how good fitting days are.</t>
  </si>
  <si>
    <t xml:space="preserve">Likely good from</t>
  </si>
  <si>
    <t xml:space="preserve">guess</t>
  </si>
  <si>
    <t xml:space="preserve">Below this: "Not sure yet" (no negative guesses).</t>
  </si>
  <si>
    <t xml:space="preserve">Likely great from</t>
  </si>
  <si>
    <t xml:space="preserve">Likely epic from</t>
  </si>
  <si>
    <t xml:space="preserve">2 · The rating scale</t>
  </si>
  <si>
    <t xml:space="preserve">You rate every session 1–5. The guess is a number between 1 and 5; only good, great and epic get a word.</t>
  </si>
  <si>
    <t xml:space="preserve">Your rating</t>
  </si>
  <si>
    <t xml:space="preserve">Word</t>
  </si>
  <si>
    <t xml:space="preserve">Guess shown as</t>
  </si>
  <si>
    <t xml:space="preserve">Guess from</t>
  </si>
  <si>
    <t xml:space="preserve">flat</t>
  </si>
  <si>
    <t xml:space="preserve">Not sure yet</t>
  </si>
  <si>
    <t xml:space="preserve">never shown</t>
  </si>
  <si>
    <t xml:space="preserve">meh</t>
  </si>
  <si>
    <t xml:space="preserve">good</t>
  </si>
  <si>
    <t xml:space="preserve">Likely good</t>
  </si>
  <si>
    <t xml:space="preserve">great</t>
  </si>
  <si>
    <t xml:space="preserve">Likely great</t>
  </si>
  <si>
    <t xml:space="preserve">epic</t>
  </si>
  <si>
    <t xml:space="preserve">Likely epic</t>
  </si>
  <si>
    <t xml:space="preserve">3 · Your spot: the wind window you entered (the start)</t>
  </si>
  <si>
    <t xml:space="preserve">Used until your great sessions teach the ranges. You can untick directions or change the strength.</t>
  </si>
  <si>
    <t xml:space="preserve">Works from (min)</t>
  </si>
  <si>
    <t xml:space="preserve">Works up to (max)</t>
  </si>
  <si>
    <t xml:space="preserve">Direction</t>
  </si>
  <si>
    <t xml:space="preserve">Centre °</t>
  </si>
  <si>
    <t xml:space="preserve">Works? (Y/N)</t>
  </si>
  <si>
    <t xml:space="preserve">N</t>
  </si>
  <si>
    <t xml:space="preserve">NE</t>
  </si>
  <si>
    <t xml:space="preserve">E</t>
  </si>
  <si>
    <t xml:space="preserve">SE</t>
  </si>
  <si>
    <t xml:space="preserve">S</t>
  </si>
  <si>
    <t xml:space="preserve">SW</t>
  </si>
  <si>
    <t xml:space="preserve">Y</t>
  </si>
  <si>
    <t xml:space="preserve">W</t>
  </si>
  <si>
    <t xml:space="preserve">NW</t>
  </si>
  <si>
    <t xml:space="preserve">4 · Conditions to rate (ECMWF now, or any hour today)</t>
  </si>
  <si>
    <t xml:space="preserve">In spotlog these come from Windy's forecast for the spot. Leave gusts or waves empty to see what happens without them.</t>
  </si>
  <si>
    <t xml:space="preserve">Wind</t>
  </si>
  <si>
    <t xml:space="preserve">Gusts</t>
  </si>
  <si>
    <t xml:space="preserve">Wind from</t>
  </si>
  <si>
    <t xml:space="preserve">Waves</t>
  </si>
  <si>
    <t xml:space="preserve">m</t>
  </si>
  <si>
    <t xml:space="preserve">Gust factor (gusts ÷ wind)</t>
  </si>
  <si>
    <t xml:space="preserve">1.2 steady · 1.6 gusty</t>
  </si>
  <si>
    <t xml:space="preserve">5 · Your sessions at this spot (what spotlog learns from)</t>
  </si>
  <si>
    <t xml:space="preserve">Each row: ECMWF at your session time (B–E) and your rating (F). The grey columns are worked out: which sessions count as great and poor, and how well each one fits the learned ranges.</t>
  </si>
  <si>
    <t xml:space="preserve">Session</t>
  </si>
  <si>
    <t xml:space="preserve">Wind m/s</t>
  </si>
  <si>
    <t xml:space="preserve">Gusts m/s</t>
  </si>
  <si>
    <t xml:space="preserve">Wind from °</t>
  </si>
  <si>
    <t xml:space="preserve">Waves m</t>
  </si>
  <si>
    <t xml:space="preserve">Rating 1–5</t>
  </si>
  <si>
    <t xml:space="preserve">Gust factor</t>
  </si>
  <si>
    <t xml:space="preserve">Great set?</t>
  </si>
  <si>
    <t xml:space="preserve">Poor?</t>
  </si>
  <si>
    <t xml:space="preserve">Fit wind</t>
  </si>
  <si>
    <t xml:space="preserve">Fit gusts</t>
  </si>
  <si>
    <t xml:space="preserve">Fit direction</t>
  </si>
  <si>
    <t xml:space="preserve">Fit waves</t>
  </si>
  <si>
    <t xml:space="preserve">Score 0–1</t>
  </si>
  <si>
    <t xml:space="preserve">Fits?</t>
  </si>
  <si>
    <t xml:space="preserve">Angle to great °</t>
  </si>
  <si>
    <t xml:space="preserve">Window angle °</t>
  </si>
  <si>
    <t xml:space="preserve">Wind if great</t>
  </si>
  <si>
    <t xml:space="preserve">Gust f. if great</t>
  </si>
  <si>
    <t xml:space="preserve">Waves if great</t>
  </si>
  <si>
    <t xml:space="preserve">Fri 12 Sep</t>
  </si>
  <si>
    <t xml:space="preserve">Sat 13 Sep</t>
  </si>
  <si>
    <t xml:space="preserve">Sun 14 Sep</t>
  </si>
  <si>
    <t xml:space="preserve">Wed 17 Sep</t>
  </si>
  <si>
    <t xml:space="preserve">Sat 20 Sep</t>
  </si>
  <si>
    <t xml:space="preserve">Tue 23 Sep</t>
  </si>
  <si>
    <t xml:space="preserve">(add session 7)</t>
  </si>
  <si>
    <t xml:space="preserve">(add session 8)</t>
  </si>
  <si>
    <t xml:space="preserve">(add session 9)</t>
  </si>
  <si>
    <t xml:space="preserve">(add session 10)</t>
  </si>
  <si>
    <t xml:space="preserve">6 · What works here for you (learned ranges and how much each matters)</t>
  </si>
  <si>
    <t xml:space="preserve">Range: from the great set once there are 2+, else your wind window (wind and direction only). Importance: great sessions inside and poor ones outside = it decides the day.</t>
  </si>
  <si>
    <t xml:space="preserve">Great sessions (4–5)</t>
  </si>
  <si>
    <t xml:space="preserve">Condition</t>
  </si>
  <si>
    <t xml:space="preserve">From</t>
  </si>
  <si>
    <t xml:space="preserve">Low</t>
  </si>
  <si>
    <t xml:space="preserve">High</t>
  </si>
  <si>
    <t xml:space="preserve">Great set with a value</t>
  </si>
  <si>
    <t xml:space="preserve">Great inside</t>
  </si>
  <si>
    <t xml:space="preserve">Poor with a value</t>
  </si>
  <si>
    <t xml:space="preserve">Poor outside</t>
  </si>
  <si>
    <t xml:space="preserve">Separation</t>
  </si>
  <si>
    <t xml:space="preserve">Importance</t>
  </si>
  <si>
    <t xml:space="preserve">Shown as</t>
  </si>
  <si>
    <t xml:space="preserve">Wind (m/s)</t>
  </si>
  <si>
    <t xml:space="preserve">Gusts (gust factor)</t>
  </si>
  <si>
    <t xml:space="preserve">Wind from (°)</t>
  </si>
  <si>
    <t xml:space="preserve">Waves (m)</t>
  </si>
  <si>
    <t xml:space="preserve">Sessions that fit (score ≥ 0.85)</t>
  </si>
  <si>
    <t xml:space="preserve">How fitting days went (1–5)</t>
  </si>
  <si>
    <t xml:space="preserve">Average rating of your fitting sessions, starting from 3.4 counted as 2 sessions.</t>
  </si>
  <si>
    <t xml:space="preserve">7 · Today's guess</t>
  </si>
  <si>
    <t xml:space="preserve">Guess = 1 + (how fitting days went − 1) × score. Score = importance-weighted fit; each condition that matters and doesn't fit at all pulls it down by its importance.</t>
  </si>
  <si>
    <t xml:space="preserve">Today</t>
  </si>
  <si>
    <t xml:space="preserve">Fit 0–1</t>
  </si>
  <si>
    <t xml:space="preserve">On the spot page</t>
  </si>
  <si>
    <t xml:space="preserve">Gusts (factor)</t>
  </si>
  <si>
    <t xml:space="preserve">Fit (importance-weighted)</t>
  </si>
  <si>
    <t xml:space="preserve">Pull-down from conditions that are off</t>
  </si>
  <si>
    <t xml:space="preserve">Off on something that matters a lot = big pull-down.</t>
  </si>
  <si>
    <t xml:space="preserve">Guess 1–5</t>
  </si>
  <si>
    <t xml:space="preserve">Shown in spotlog</t>
  </si>
  <si>
    <t xml:space="preserve">Only good news gets a word.</t>
  </si>
  <si>
    <t xml:space="preserve">Small note under it</t>
  </si>
  <si>
    <t xml:space="preserve">8 · Which forecast to trust here (saved forecast vs how it felt)</t>
  </si>
  <si>
    <t xml:space="preserve">Per session: the wind each model forecast for your session time, and what it felt like. Miss = |forecast − felt|. Smallest average miss = the model to trust at this spot.</t>
  </si>
  <si>
    <t xml:space="preserve">Felt like m/s</t>
  </si>
  <si>
    <t xml:space="preserve">ECMWF</t>
  </si>
  <si>
    <t xml:space="preserve">GFS</t>
  </si>
  <si>
    <t xml:space="preserve">ICON</t>
  </si>
  <si>
    <t xml:space="preserve">ICON-EU</t>
  </si>
  <si>
    <t xml:space="preserve">AROME</t>
  </si>
  <si>
    <t xml:space="preserve">Miss ECMWF</t>
  </si>
  <si>
    <t xml:space="preserve">Miss GFS</t>
  </si>
  <si>
    <t xml:space="preserve">Miss ICON</t>
  </si>
  <si>
    <t xml:space="preserve">Miss ICON-EU</t>
  </si>
  <si>
    <t xml:space="preserve">Miss AROME</t>
  </si>
  <si>
    <t xml:space="preserve">(add)</t>
  </si>
  <si>
    <t xml:space="preserve">Average miss (m/s)</t>
  </si>
  <si>
    <t xml:space="preserve">Sessions compared</t>
  </si>
  <si>
    <t xml:space="preserve">Trust most</t>
  </si>
  <si>
    <t xml:space="preserve">Bias of ECMWF (felt − forecast)</t>
  </si>
  <si>
    <t xml:space="preserve">Negative = it usually feels lighter than forecast. In spotlog this uses the model that was on the map when you saved.</t>
  </si>
  <si>
    <t xml:space="preserve">9 · Forecast confidence (a proposal, not in spotlog yet)</t>
  </si>
  <si>
    <t xml:space="preserve">Three signals, multiplied: how much the models agree (hourly), how far ahead it is, and Windy's daily predictability %. Used to soften a guess for later hours or days.</t>
  </si>
  <si>
    <t xml:space="preserve">ECMWF wind at that hour</t>
  </si>
  <si>
    <t xml:space="preserve">GFS wind</t>
  </si>
  <si>
    <t xml:space="preserve">ICON wind</t>
  </si>
  <si>
    <t xml:space="preserve">ICON-EU wind</t>
  </si>
  <si>
    <t xml:space="preserve">Hours ahead</t>
  </si>
  <si>
    <t xml:space="preserve">h</t>
  </si>
  <si>
    <t xml:space="preserve">Windy predictability (daily)</t>
  </si>
  <si>
    <t xml:space="preserve">0–100 %</t>
  </si>
  <si>
    <t xml:space="preserve">Agreement: spread that means "no agreement"</t>
  </si>
  <si>
    <t xml:space="preserve">× mean wind</t>
  </si>
  <si>
    <t xml:space="preserve">Lead time: confidence halves every</t>
  </si>
  <si>
    <t xml:space="preserve">Guess before confidence</t>
  </si>
  <si>
    <t xml:space="preserve">Mean of the models</t>
  </si>
  <si>
    <t xml:space="preserve">Spread (standard deviation)</t>
  </si>
  <si>
    <t xml:space="preserve">How far apart the models are, in m/s.</t>
  </si>
  <si>
    <t xml:space="preserve">Model agreement</t>
  </si>
  <si>
    <t xml:space="preserve">100 % = all models say the same.</t>
  </si>
  <si>
    <t xml:space="preserve">Lead-time confidence</t>
  </si>
  <si>
    <t xml:space="preserve">The further ahead, the less sure.</t>
  </si>
  <si>
    <t xml:space="preserve">Combined confidence</t>
  </si>
  <si>
    <t xml:space="preserve">Agreement × lead time × Windy predictability.</t>
  </si>
  <si>
    <t xml:space="preserve">Guess after confidence</t>
  </si>
  <si>
    <t xml:space="preserve">Pulled towards the "good" line when confidence is low: a shaky "epic" becomes "good".</t>
  </si>
  <si>
    <t xml:space="preserve">Shown</t>
  </si>
  <si>
    <t xml:space="preserve">spotlog · the logic, step by step</t>
  </si>
  <si>
    <t xml:space="preserve">How spotlog compares saved forecasts with your sessions, what it learns per spot and sport, which models it uses, options for forecast predictability, and what is still open. Code: src/lib/predict.ts, wind.ts, forecast.ts (spotlog 0.13).</t>
  </si>
  <si>
    <t xml:space="preserve">A · Saved forecast vs session (the reality check)</t>
  </si>
  <si>
    <t xml:space="preserve">Step</t>
  </si>
  <si>
    <t xml:space="preserve">What happens</t>
  </si>
  <si>
    <t xml:space="preserve">Formula / rule</t>
  </si>
  <si>
    <t xml:space="preserve">Why</t>
  </si>
  <si>
    <t xml:space="preserve">In the sheet</t>
  </si>
  <si>
    <t xml:space="preserve">A1</t>
  </si>
  <si>
    <t xml:space="preserve">Save a forecast</t>
  </si>
  <si>
    <t xml:space="preserve">Next 24 h, hourly grid, every model that covers the spot (ECMWF, GFS, ICON, ICON-EU, AROME) + waves and swell (ECMWF-WAM, else GFS-Wave)</t>
  </si>
  <si>
    <t xml:space="preserve">A session logged later can be read at its own hour</t>
  </si>
  <si>
    <t xml:space="preserve">—</t>
  </si>
  <si>
    <t xml:space="preserve">A2</t>
  </si>
  <si>
    <t xml:space="preserve">Log a session</t>
  </si>
  <si>
    <t xml:space="preserve">session time = middle of start–end (or start, or the day); sport = the one you tick (spots with one sport: that one)</t>
  </si>
  <si>
    <t xml:space="preserve">The forecast for the hours you were out</t>
  </si>
  <si>
    <t xml:space="preserve">A3</t>
  </si>
  <si>
    <t xml:space="preserve">Forecast at session time</t>
  </si>
  <si>
    <t xml:space="preserve">ECMWF at the nearest saved hour (if ECMWF wasn't saved: the model on the map)</t>
  </si>
  <si>
    <t xml:space="preserve">Today's guesses use ECMWF too, so like is compared with like</t>
  </si>
  <si>
    <t xml:space="preserve">Section 5, B–E</t>
  </si>
  <si>
    <t xml:space="preserve">A4</t>
  </si>
  <si>
    <t xml:space="preserve">Miss per model</t>
  </si>
  <si>
    <t xml:space="preserve">miss = |model wind − felt wind|</t>
  </si>
  <si>
    <t xml:space="preserve">How wrong each model was for you</t>
  </si>
  <si>
    <t xml:space="preserve">Section 8</t>
  </si>
  <si>
    <t xml:space="preserve">A5</t>
  </si>
  <si>
    <t xml:space="preserve">the model with the smallest average miss over your sessions here</t>
  </si>
  <si>
    <t xml:space="preserve">"Which forecast to trust here"</t>
  </si>
  <si>
    <t xml:space="preserve">A6</t>
  </si>
  <si>
    <t xml:space="preserve">Forecast bias</t>
  </si>
  <si>
    <t xml:space="preserve">bias = average(felt − forecast)</t>
  </si>
  <si>
    <t xml:space="preserve">e.g. −1.5 = feels 1.5 m/s lighter here</t>
  </si>
  <si>
    <t xml:space="preserve">B · What works here: learned per spot and sport</t>
  </si>
  <si>
    <t xml:space="preserve">B1</t>
  </si>
  <si>
    <t xml:space="preserve">Conditions per sport</t>
  </si>
  <si>
    <t xml:space="preserve">Windsurf, kite, wing: wind, wind direction, gusts (as gusts ÷ wind), waves · Surf: swell, swell period, swell direction, wind, wind direction · SUP and other: wind, direction, waves</t>
  </si>
  <si>
    <t xml:space="preserve">Each sport cares about different things</t>
  </si>
  <si>
    <t xml:space="preserve">Section 5 shows windsurf</t>
  </si>
  <si>
    <t xml:space="preserve">B2</t>
  </si>
  <si>
    <t xml:space="preserve">The great set</t>
  </si>
  <si>
    <t xml:space="preserve">your sessions rated 4–5; with fewer than 2 of those, sessions rated 3+</t>
  </si>
  <si>
    <t xml:space="preserve">What a good day looked like for you</t>
  </si>
  <si>
    <t xml:space="preserve">Section 5, H</t>
  </si>
  <si>
    <t xml:space="preserve">B3</t>
  </si>
  <si>
    <t xml:space="preserve">Range per condition</t>
  </si>
  <si>
    <t xml:space="preserve">2+ great sessions with a value → lowest to highest (from 6 sessions: 10th–90th percentile), widened 10 % · else your wind window (wind strength and directions only)</t>
  </si>
  <si>
    <t xml:space="preserve">Starts from what you told spotlog, then follows your sessions</t>
  </si>
  <si>
    <t xml:space="preserve">Section 6, Low/High</t>
  </si>
  <si>
    <t xml:space="preserve">B4</t>
  </si>
  <si>
    <t xml:space="preserve">Directions</t>
  </si>
  <si>
    <t xml:space="preserve">inside = within 20° of a great session's direction (window: within 22.5° of a ticked direction)</t>
  </si>
  <si>
    <t xml:space="preserve">Learns in degrees, not 8 coarse sectors</t>
  </si>
  <si>
    <t xml:space="preserve">Section 5, P–Q</t>
  </si>
  <si>
    <t xml:space="preserve">B5</t>
  </si>
  <si>
    <t xml:space="preserve">Fit of one value</t>
  </si>
  <si>
    <t xml:space="preserve">inside → 1 · outside: falls to 0 at 25 % beyond the edge (directions: 30°)</t>
  </si>
  <si>
    <t xml:space="preserve">A little outside is nearly fine, far outside is not</t>
  </si>
  <si>
    <t xml:space="preserve">Section 5, J–M</t>
  </si>
  <si>
    <t xml:space="preserve">B6</t>
  </si>
  <si>
    <t xml:space="preserve">How much it matters</t>
  </si>
  <si>
    <t xml:space="preserve">separation = share of great sessions inside + share of poor sessions (1–2) outside − 1 · importance = (2 × 0.5 + poor sessions × separation) ÷ (2 + poor sessions), at least 0.05</t>
  </si>
  <si>
    <t xml:space="preserve">If your poor days were outside the range, that condition decides the day here. Starts at "matters" until poor sessions say otherwise</t>
  </si>
  <si>
    <t xml:space="preserve">Section 6, Importance</t>
  </si>
  <si>
    <t xml:space="preserve">B7</t>
  </si>
  <si>
    <t xml:space="preserve">Score of a day</t>
  </si>
  <si>
    <t xml:space="preserve">Σ(importance × fit) ÷ Σ importance, × (1 − importance) for every condition with no fit at all</t>
  </si>
  <si>
    <t xml:space="preserve">Important conditions count more; one that matters and is clearly off pulls the whole day down</t>
  </si>
  <si>
    <t xml:space="preserve">Section 7</t>
  </si>
  <si>
    <t xml:space="preserve">B8</t>
  </si>
  <si>
    <t xml:space="preserve">How fitting days went</t>
  </si>
  <si>
    <t xml:space="preserve">(Σ ratings of sessions scoring ≥ 0.85 + 3.4 × 2) ÷ (number of those + 2)</t>
  </si>
  <si>
    <t xml:space="preserve">Turns "fits what works" into how good such a day is for you</t>
  </si>
  <si>
    <t xml:space="preserve">Section 6</t>
  </si>
  <si>
    <t xml:space="preserve">B9</t>
  </si>
  <si>
    <t xml:space="preserve">Guess</t>
  </si>
  <si>
    <t xml:space="preserve">1 + (how fitting days went − 1) × score</t>
  </si>
  <si>
    <t xml:space="preserve">Perfect fit = your usual rating on fitting days</t>
  </si>
  <si>
    <t xml:space="preserve">B10</t>
  </si>
  <si>
    <t xml:space="preserve">≥ 4.2 Likely epic · ≥ 3.5 Likely great · ≥ 2.7 Likely good · else Not sure yet</t>
  </si>
  <si>
    <t xml:space="preserve">No negative words</t>
  </si>
  <si>
    <t xml:space="preserve">B11</t>
  </si>
  <si>
    <t xml:space="preserve">Multi-sport spots</t>
  </si>
  <si>
    <t xml:space="preserve">one model per sport; the tile and map show the best sport</t>
  </si>
  <si>
    <t xml:space="preserve">A windy day can be great for windsurf and flat for surf</t>
  </si>
  <si>
    <t xml:space="preserve">Spot page, per sport</t>
  </si>
  <si>
    <t xml:space="preserve">B12</t>
  </si>
  <si>
    <t xml:space="preserve">"What works here for you": each condition's range, importance bars, today's value with ✓ ~ ✕</t>
  </si>
  <si>
    <t xml:space="preserve">You see what spotlog learned and why it guesses what it does</t>
  </si>
  <si>
    <t xml:space="preserve">C · Best window of today</t>
  </si>
  <si>
    <t xml:space="preserve">C1</t>
  </si>
  <si>
    <t xml:space="preserve">Hours</t>
  </si>
  <si>
    <t xml:space="preserve">ECMWF hours from now to midnight (1- or 3-hourly, as Windy sends them), daylight only (Windy's isDay, else 6:00–21:00)</t>
  </si>
  <si>
    <t xml:space="preserve">A good evening shows in the afternoon already</t>
  </si>
  <si>
    <t xml:space="preserve">C2</t>
  </si>
  <si>
    <t xml:space="preserve">Guess per hour and sport</t>
  </si>
  <si>
    <t xml:space="preserve">part B for each hour</t>
  </si>
  <si>
    <t xml:space="preserve">C3</t>
  </si>
  <si>
    <t xml:space="preserve">Windows</t>
  </si>
  <si>
    <t xml:space="preserve">back-to-back hours that are Likely good or better, per sport</t>
  </si>
  <si>
    <t xml:space="preserve">C4</t>
  </si>
  <si>
    <t xml:space="preserve">Best</t>
  </si>
  <si>
    <t xml:space="preserve">highest average guess (earlier on a tie); "now" when it has started</t>
  </si>
  <si>
    <t xml:space="preserve">Map pin "great 18:00", tile, spot page "Best today"</t>
  </si>
  <si>
    <t xml:space="preserve">D · Tide</t>
  </si>
  <si>
    <t xml:space="preserve">What</t>
  </si>
  <si>
    <t xml:space="preserve">Rule</t>
  </si>
  <si>
    <t xml:space="preserve">D1</t>
  </si>
  <si>
    <t xml:space="preserve">Log</t>
  </si>
  <si>
    <t xml:space="preserve">Low / Mid / High + Rising / Falling on each session (optional)</t>
  </si>
  <si>
    <t xml:space="preserve">Windy has no tide forecast for plugins</t>
  </si>
  <si>
    <t xml:space="preserve">D2</t>
  </si>
  <si>
    <t xml:space="preserve">Hint</t>
  </si>
  <si>
    <t xml:space="preserve">the tide most of your great sessions had (2+ great sessions with tide, half of them agreeing)</t>
  </si>
  <si>
    <t xml:space="preserve">"Your best sessions here: High tide (3 of 4)"</t>
  </si>
  <si>
    <t xml:space="preserve">E · Forecast models</t>
  </si>
  <si>
    <t xml:space="preserve">Model</t>
  </si>
  <si>
    <t xml:space="preserve">Status in spotlog</t>
  </si>
  <si>
    <t xml:space="preserve">Coverage / note</t>
  </si>
  <si>
    <t xml:space="preserve">Source</t>
  </si>
  <si>
    <t xml:space="preserve">Saved · used for learning, tiles, map pins, best window, next window</t>
  </si>
  <si>
    <t xml:space="preserve">Global, ~9 km</t>
  </si>
  <si>
    <t xml:space="preserve">src/lib/forecast.ts</t>
  </si>
  <si>
    <t xml:space="preserve">Saved (when "Save every model" is on); used in Which forecast to trust</t>
  </si>
  <si>
    <t xml:space="preserve">Global, ~22 km</t>
  </si>
  <si>
    <t xml:space="preserve">Saved</t>
  </si>
  <si>
    <t xml:space="preserve">Global, ~13 km</t>
  </si>
  <si>
    <t xml:space="preserve">Europe, ~7 km</t>
  </si>
  <si>
    <t xml:space="preserve">Saved where it covers</t>
  </si>
  <si>
    <t xml:space="preserve">France and nearby, ~1.3–2.5 km</t>
  </si>
  <si>
    <t xml:space="preserve">ECMWF-WAM, GFS-Wave</t>
  </si>
  <si>
    <t xml:space="preserve">Saved: waves, swell, period, direction, power</t>
  </si>
  <si>
    <t xml:space="preserve">Global sea grid; near the shore is rough</t>
  </si>
  <si>
    <t xml:space="preserve">mBlue (meteoblue)</t>
  </si>
  <si>
    <t xml:space="preserve">Not saved yet: in Windy's point-forecast list</t>
  </si>
  <si>
    <t xml:space="preserve">Windy's default point model next to ECMWF</t>
  </si>
  <si>
    <t xml:space="preserve">Windy plugin types: pointProducts</t>
  </si>
  <si>
    <t xml:space="preserve">ICON-D2, UKV, AROME-France, Czech Aladin, HRRR, Canadian HRDPS, JMA MSM, BOM ACCESS, ICON-EU waves…</t>
  </si>
  <si>
    <t xml:space="preserve">Not saved yet: in Windy's point-forecast types, not tested</t>
  </si>
  <si>
    <t xml:space="preserve">Regional high-resolution models. Some may be retired (NAM was reported gone on 1 Oct 2026)</t>
  </si>
  <si>
    <t xml:space="preserve">community.windy.com/topic/45973</t>
  </si>
  <si>
    <t xml:space="preserve">F · Forecast predictability: options</t>
  </si>
  <si>
    <t xml:space="preserve">Option</t>
  </si>
  <si>
    <t xml:space="preserve">How</t>
  </si>
  <si>
    <t xml:space="preserve">Pros / cons</t>
  </si>
  <si>
    <t xml:space="preserve">Verdict</t>
  </si>
  <si>
    <t xml:space="preserve">F1</t>
  </si>
  <si>
    <t xml:space="preserve">Windy's daily predictability %</t>
  </si>
  <si>
    <t xml:space="preserve">getPointForecastData(model, {lat, lon}, {summary: true}) → summary[day].predictability (0–100), calculated by meteoblue</t>
  </si>
  <si>
    <t xml:space="preserve">+ the number people see in Windy · − one value per day; which models fill it is not documented; untested</t>
  </si>
  <si>
    <t xml:space="preserve">Later: label for a multi-day outlook</t>
  </si>
  <si>
    <t xml:space="preserve">F2</t>
  </si>
  <si>
    <t xml:space="preserve">spread = standard deviation of wind across ECMWF / GFS / ICON / ICON-EU at that hour; agreement = 1 − spread ÷ (0.3 × mean)</t>
  </si>
  <si>
    <t xml:space="preserve">+ hourly, uses data we already fetch, works everywhere · − 3–4 extra fetches per spot (cached)</t>
  </si>
  <si>
    <t xml:space="preserve">Best first step</t>
  </si>
  <si>
    <t xml:space="preserve">F3</t>
  </si>
  <si>
    <t xml:space="preserve">Lead time</t>
  </si>
  <si>
    <t xml:space="preserve">confidence = 0.5 ^ (hours ahead ÷ 72)</t>
  </si>
  <si>
    <t xml:space="preserve">+ free · − the same for every day and place</t>
  </si>
  <si>
    <t xml:space="preserve">With F2</t>
  </si>
  <si>
    <t xml:space="preserve">F4</t>
  </si>
  <si>
    <t xml:space="preserve">Your own accuracy</t>
  </si>
  <si>
    <t xml:space="preserve">per spot: average miss of the model (part A) ÷ typical miss</t>
  </si>
  <si>
    <t xml:space="preserve">+ personal · − needs "felt like" on several sessions</t>
  </si>
  <si>
    <t xml:space="preserve">Later</t>
  </si>
  <si>
    <t xml:space="preserve">F5</t>
  </si>
  <si>
    <t xml:space="preserve">Combined</t>
  </si>
  <si>
    <t xml:space="preserve">confidence = agreement × lead time × Windy %; shown guess = 2.7 + (guess − 2.7) × confidence; "low certainty" under 40 %</t>
  </si>
  <si>
    <t xml:space="preserve">A shaky "epic" in 4 days becomes "good · low certainty"</t>
  </si>
  <si>
    <t xml:space="preserve">Try it in section 9 of the first tab</t>
  </si>
  <si>
    <t xml:space="preserve">G · Still open (answer them on the decisions page)</t>
  </si>
  <si>
    <t xml:space="preserve">#</t>
  </si>
  <si>
    <t xml:space="preserve">Issue</t>
  </si>
  <si>
    <t xml:space="preserve">Fix idea</t>
  </si>
  <si>
    <t xml:space="preserve">Impact</t>
  </si>
  <si>
    <t xml:space="preserve">L1</t>
  </si>
  <si>
    <t xml:space="preserve">Only sessions with a saved forecast teach</t>
  </si>
  <si>
    <t xml:space="preserve">Sessions logged without a forecast, or days later, don't count.</t>
  </si>
  <si>
    <t xml:space="preserve">Reminder to save; or use "felt like" + a direction at half weight</t>
  </si>
  <si>
    <t xml:space="preserve">L3</t>
  </si>
  <si>
    <t xml:space="preserve">Wrong forecast days teach wrong lessons</t>
  </si>
  <si>
    <t xml:space="preserve">Forecast 12, real 6, rated 2: spotlog learns "12 is poor".</t>
  </si>
  <si>
    <t xml:space="preserve">Half weight when felt and forecast differ by a third</t>
  </si>
  <si>
    <t xml:space="preserve">Medium</t>
  </si>
  <si>
    <t xml:space="preserve">L4</t>
  </si>
  <si>
    <t xml:space="preserve">Mostly good days get logged</t>
  </si>
  <si>
    <t xml:space="preserve">Importance needs poor days to compare against.</t>
  </si>
  <si>
    <t xml:space="preserve">One-tap "Checked, not worth it"</t>
  </si>
  <si>
    <t xml:space="preserve">L5</t>
  </si>
  <si>
    <t xml:space="preserve">Gear size not part of it</t>
  </si>
  <si>
    <t xml:space="preserve">A 4.7 and a 6.2 sail day count the same.</t>
  </si>
  <si>
    <t xml:space="preserve">Later: hints per gear</t>
  </si>
  <si>
    <t xml:space="preserve">L7</t>
  </si>
  <si>
    <t xml:space="preserve">Same start rating for everyone</t>
  </si>
  <si>
    <t xml:space="preserve">A perfect fit means 3.4 until your sessions say otherwise.</t>
  </si>
  <si>
    <t xml:space="preserve">Start from your own average rating</t>
  </si>
  <si>
    <t xml:space="preserve">L8</t>
  </si>
  <si>
    <t xml:space="preserve">Rating scale drifts over time</t>
  </si>
  <si>
    <t xml:space="preserve">Old sessions count the same as new.</t>
  </si>
  <si>
    <t xml:space="preserve">Kept as is (your decision)</t>
  </si>
  <si>
    <t xml:space="preserve">C4/C5</t>
  </si>
  <si>
    <t xml:space="preserve">Rain, tide</t>
  </si>
  <si>
    <t xml:space="preserve">Not part of the learning (tide only as a hint).</t>
  </si>
  <si>
    <t xml:space="preserve">Rain later; tick today's tide later</t>
  </si>
  <si>
    <t xml:space="preserve">Low–medium</t>
  </si>
  <si>
    <t xml:space="preserve">C6</t>
  </si>
  <si>
    <t xml:space="preserve">Local winds</t>
  </si>
  <si>
    <t xml:space="preserve">Global models smooth thermals and acceleration.</t>
  </si>
  <si>
    <t xml:space="preserve">Trusted model per spot, regional models</t>
  </si>
  <si>
    <t xml:space="preserve">T1–T4</t>
  </si>
  <si>
    <t xml:space="preserve">Which forecast to trust</t>
  </si>
  <si>
    <t xml:space="preserve">Few sessions can win; bias unused in Next good window; always ECMWF; Beaufort coarse.</t>
  </si>
  <si>
    <t xml:space="preserve">Minimum 3 sessions, apply bias, trusted model, half Beaufort steps</t>
  </si>
  <si>
    <t xml:space="preserve">W1–W5</t>
  </si>
  <si>
    <t xml:space="preserve">Best window and outlook</t>
  </si>
  <si>
    <t xml:space="preserve">3-hour steps, today only, Next good window disagrees, no predictability, approximate daylight.</t>
  </si>
  <si>
    <t xml:space="preserve">Hourly steps, show tomorrow, one logic, F2+F3, real sunrise/sunset</t>
  </si>
  <si>
    <t xml:space="preserve">D1–D5</t>
  </si>
  <si>
    <t xml:space="preserve">Your data</t>
  </si>
  <si>
    <t xml:space="preserve">One browser, sessions without a spot, nearby spots, time zones, sessions outside the saved 24 h.</t>
  </si>
  <si>
    <t xml:space="preserve">Sync later, link sessions, share nearby, saved time zone, half weight</t>
  </si>
  <si>
    <t xml:space="preserve">High for D1</t>
  </si>
  <si>
    <t xml:space="preserve">N1–N5</t>
  </si>
  <si>
    <t xml:space="preserve">Questions about the new learning</t>
  </si>
  <si>
    <t xml:space="preserve">Conditions per sport, editable ranges, your window vs learned, "why" on the map card, how fast ranges learn.</t>
  </si>
  <si>
    <t xml:space="preserve">See the decisions page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</si>
</sst>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#"/>
    <numFmt numFmtId="166" formatCode="0%"/>
    <numFmt numFmtId="167" formatCode="0.0"/>
    <numFmt numFmtId="168" formatCode="0.00"/>
    <numFmt numFmtId="169" formatCode="0"/>
    <numFmt numFmtId="170" formatCode="General"/>
    <numFmt numFmtId="171" formatCode="\+0.0;\-0.0;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E9E8E3"/>
        <bgColor rgb="FFDDF0E2"/>
      </patternFill>
    </fill>
    <fill>
      <patternFill patternType="solid">
        <fgColor rgb="FFFFF7D6"/>
        <bgColor rgb="FFF2F2F0"/>
      </patternFill>
    </fill>
    <fill>
      <patternFill patternType="solid">
        <fgColor rgb="FFF2F2F0"/>
        <bgColor rgb="FFE9E8E3"/>
      </patternFill>
    </fill>
    <fill>
      <patternFill patternType="solid">
        <fgColor rgb="FFDDF0E2"/>
        <bgColor rgb="FFE9E8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7D6"/>
      <rgbColor rgb="FFF2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8E3"/>
      <rgbColor rgb="FFDDF0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3"/>
    <col collapsed="false" customWidth="true" hidden="false" outlineLevel="0" max="13" min="13" style="0" width="44"/>
    <col collapsed="false" customWidth="true" hidden="false" outlineLevel="0" max="31" min="14" style="0" width="11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true" outlineLevel="0" collapsed="false">
      <c r="A7" s="6" t="s">
        <v>8</v>
      </c>
      <c r="B7" s="7" t="n">
        <v>2</v>
      </c>
      <c r="C7" s="6" t="s">
        <v>9</v>
      </c>
      <c r="D7" s="8" t="s">
        <v>10</v>
      </c>
      <c r="E7" s="8"/>
      <c r="F7" s="8"/>
      <c r="G7" s="8"/>
      <c r="H7" s="8"/>
      <c r="I7" s="8"/>
      <c r="J7" s="8"/>
      <c r="K7" s="8"/>
      <c r="L7" s="8"/>
      <c r="M7" s="8"/>
    </row>
    <row r="8" customFormat="false" ht="15" hidden="false" customHeight="true" outlineLevel="0" collapsed="false">
      <c r="A8" s="6" t="s">
        <v>11</v>
      </c>
      <c r="B8" s="7" t="n">
        <v>6</v>
      </c>
      <c r="C8" s="6" t="s">
        <v>9</v>
      </c>
      <c r="D8" s="8" t="s">
        <v>12</v>
      </c>
      <c r="E8" s="8"/>
      <c r="F8" s="8"/>
      <c r="G8" s="8"/>
      <c r="H8" s="8"/>
      <c r="I8" s="8"/>
      <c r="J8" s="8"/>
      <c r="K8" s="8"/>
      <c r="L8" s="8"/>
      <c r="M8" s="8"/>
    </row>
    <row r="9" customFormat="false" ht="15" hidden="false" customHeight="true" outlineLevel="0" collapsed="false">
      <c r="A9" s="6" t="s">
        <v>13</v>
      </c>
      <c r="B9" s="9" t="n">
        <v>0.1</v>
      </c>
      <c r="C9" s="6" t="s">
        <v>14</v>
      </c>
      <c r="D9" s="8" t="s">
        <v>15</v>
      </c>
      <c r="E9" s="8"/>
      <c r="F9" s="8"/>
      <c r="G9" s="8"/>
      <c r="H9" s="8"/>
      <c r="I9" s="8"/>
      <c r="J9" s="8"/>
      <c r="K9" s="8"/>
      <c r="L9" s="8"/>
      <c r="M9" s="8"/>
    </row>
    <row r="10" customFormat="false" ht="15" hidden="false" customHeight="true" outlineLevel="0" collapsed="false">
      <c r="A10" s="6" t="s">
        <v>16</v>
      </c>
      <c r="B10" s="7" t="n">
        <v>20</v>
      </c>
      <c r="C10" s="6" t="s">
        <v>17</v>
      </c>
      <c r="D10" s="8" t="s">
        <v>18</v>
      </c>
      <c r="E10" s="8"/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true" outlineLevel="0" collapsed="false">
      <c r="A11" s="6" t="s">
        <v>19</v>
      </c>
      <c r="B11" s="7" t="n">
        <v>22.5</v>
      </c>
      <c r="C11" s="6" t="s">
        <v>17</v>
      </c>
      <c r="D11" s="8" t="s">
        <v>20</v>
      </c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" hidden="false" customHeight="true" outlineLevel="0" collapsed="false">
      <c r="A12" s="6" t="s">
        <v>21</v>
      </c>
      <c r="B12" s="9" t="n">
        <v>0.25</v>
      </c>
      <c r="C12" s="6" t="s">
        <v>22</v>
      </c>
      <c r="D12" s="8" t="s">
        <v>23</v>
      </c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6" t="s">
        <v>24</v>
      </c>
      <c r="B13" s="7" t="n">
        <v>30</v>
      </c>
      <c r="C13" s="6" t="s">
        <v>25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" hidden="false" customHeight="true" outlineLevel="0" collapsed="false">
      <c r="A14" s="6" t="s">
        <v>26</v>
      </c>
      <c r="B14" s="7" t="n">
        <v>2</v>
      </c>
      <c r="C14" s="6" t="s">
        <v>27</v>
      </c>
      <c r="D14" s="8" t="s">
        <v>28</v>
      </c>
      <c r="E14" s="8"/>
      <c r="F14" s="8"/>
      <c r="G14" s="8"/>
      <c r="H14" s="8"/>
      <c r="I14" s="8"/>
      <c r="J14" s="8"/>
      <c r="K14" s="8"/>
      <c r="L14" s="8"/>
      <c r="M14" s="8"/>
    </row>
    <row r="15" customFormat="false" ht="15" hidden="false" customHeight="true" outlineLevel="0" collapsed="false">
      <c r="A15" s="6" t="s">
        <v>29</v>
      </c>
      <c r="B15" s="7" t="n">
        <v>0.5</v>
      </c>
      <c r="C15" s="6" t="s">
        <v>30</v>
      </c>
      <c r="D15" s="8" t="s">
        <v>31</v>
      </c>
      <c r="E15" s="8"/>
      <c r="F15" s="8"/>
      <c r="G15" s="8"/>
      <c r="H15" s="8"/>
      <c r="I15" s="8"/>
      <c r="J15" s="8"/>
      <c r="K15" s="8"/>
      <c r="L15" s="8"/>
      <c r="M15" s="8"/>
    </row>
    <row r="16" customFormat="false" ht="15" hidden="false" customHeight="true" outlineLevel="0" collapsed="false">
      <c r="A16" s="6" t="s">
        <v>32</v>
      </c>
      <c r="B16" s="7" t="n">
        <v>2</v>
      </c>
      <c r="C16" s="6" t="s">
        <v>33</v>
      </c>
      <c r="D16" s="8" t="s">
        <v>34</v>
      </c>
      <c r="E16" s="8"/>
      <c r="F16" s="8"/>
      <c r="G16" s="8"/>
      <c r="H16" s="8"/>
      <c r="I16" s="8"/>
      <c r="J16" s="8"/>
      <c r="K16" s="8"/>
      <c r="L16" s="8"/>
      <c r="M16" s="8"/>
    </row>
    <row r="17" customFormat="false" ht="15" hidden="false" customHeight="true" outlineLevel="0" collapsed="false">
      <c r="A17" s="6" t="s">
        <v>35</v>
      </c>
      <c r="B17" s="7" t="n">
        <v>3.4</v>
      </c>
      <c r="C17" s="6" t="s">
        <v>36</v>
      </c>
      <c r="D17" s="8" t="s">
        <v>37</v>
      </c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true" outlineLevel="0" collapsed="false">
      <c r="A18" s="6" t="s">
        <v>32</v>
      </c>
      <c r="B18" s="7" t="n">
        <v>2</v>
      </c>
      <c r="C18" s="6" t="s">
        <v>9</v>
      </c>
      <c r="D18" s="8" t="s">
        <v>38</v>
      </c>
      <c r="E18" s="8"/>
      <c r="F18" s="8"/>
      <c r="G18" s="8"/>
      <c r="H18" s="8"/>
      <c r="I18" s="8"/>
      <c r="J18" s="8"/>
      <c r="K18" s="8"/>
      <c r="L18" s="8"/>
      <c r="M18" s="8"/>
    </row>
    <row r="19" customFormat="false" ht="15" hidden="false" customHeight="true" outlineLevel="0" collapsed="false">
      <c r="A19" s="6" t="s">
        <v>39</v>
      </c>
      <c r="B19" s="7" t="n">
        <v>0.85</v>
      </c>
      <c r="C19" s="6" t="s">
        <v>30</v>
      </c>
      <c r="D19" s="8" t="s">
        <v>40</v>
      </c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true" outlineLevel="0" collapsed="false">
      <c r="A20" s="6" t="s">
        <v>41</v>
      </c>
      <c r="B20" s="7" t="n">
        <v>2.7</v>
      </c>
      <c r="C20" s="6" t="s">
        <v>42</v>
      </c>
      <c r="D20" s="8" t="s">
        <v>43</v>
      </c>
      <c r="E20" s="8"/>
      <c r="F20" s="8"/>
      <c r="G20" s="8"/>
      <c r="H20" s="8"/>
      <c r="I20" s="8"/>
      <c r="J20" s="8"/>
      <c r="K20" s="8"/>
      <c r="L20" s="8"/>
      <c r="M20" s="8"/>
    </row>
    <row r="21" customFormat="false" ht="15" hidden="false" customHeight="false" outlineLevel="0" collapsed="false">
      <c r="A21" s="6" t="s">
        <v>44</v>
      </c>
      <c r="B21" s="7" t="n">
        <v>3.5</v>
      </c>
      <c r="C21" s="6" t="s">
        <v>42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15" hidden="false" customHeight="false" outlineLevel="0" collapsed="false">
      <c r="A22" s="6" t="s">
        <v>45</v>
      </c>
      <c r="B22" s="7" t="n">
        <v>4.2</v>
      </c>
      <c r="C22" s="6" t="s">
        <v>42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4" customFormat="false" ht="15" hidden="false" customHeight="false" outlineLevel="0" collapsed="false">
      <c r="A24" s="3" t="s">
        <v>46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30" hidden="false" customHeight="true" outlineLevel="0" collapsed="false">
      <c r="A25" s="2" t="s">
        <v>47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23.85" hidden="false" customHeight="false" outlineLevel="0" collapsed="false">
      <c r="A26" s="5" t="s">
        <v>48</v>
      </c>
      <c r="B26" s="5" t="s">
        <v>49</v>
      </c>
      <c r="C26" s="5" t="s">
        <v>50</v>
      </c>
      <c r="D26" s="5" t="s">
        <v>51</v>
      </c>
    </row>
    <row r="27" customFormat="false" ht="15" hidden="false" customHeight="false" outlineLevel="0" collapsed="false">
      <c r="A27" s="6" t="n">
        <v>1</v>
      </c>
      <c r="B27" s="6" t="s">
        <v>52</v>
      </c>
      <c r="C27" s="6" t="s">
        <v>53</v>
      </c>
      <c r="D27" s="10" t="s">
        <v>54</v>
      </c>
    </row>
    <row r="28" customFormat="false" ht="15" hidden="false" customHeight="false" outlineLevel="0" collapsed="false">
      <c r="A28" s="6" t="n">
        <v>2</v>
      </c>
      <c r="B28" s="6" t="s">
        <v>55</v>
      </c>
      <c r="C28" s="6" t="s">
        <v>53</v>
      </c>
      <c r="D28" s="10" t="s">
        <v>54</v>
      </c>
    </row>
    <row r="29" customFormat="false" ht="15" hidden="false" customHeight="false" outlineLevel="0" collapsed="false">
      <c r="A29" s="6" t="n">
        <v>3</v>
      </c>
      <c r="B29" s="6" t="s">
        <v>56</v>
      </c>
      <c r="C29" s="6" t="s">
        <v>57</v>
      </c>
      <c r="D29" s="10" t="n">
        <f aca="false">$B$20</f>
        <v>2.7</v>
      </c>
    </row>
    <row r="30" customFormat="false" ht="15" hidden="false" customHeight="false" outlineLevel="0" collapsed="false">
      <c r="A30" s="6" t="n">
        <v>4</v>
      </c>
      <c r="B30" s="6" t="s">
        <v>58</v>
      </c>
      <c r="C30" s="6" t="s">
        <v>59</v>
      </c>
      <c r="D30" s="10" t="n">
        <f aca="false">$B$21</f>
        <v>3.5</v>
      </c>
    </row>
    <row r="31" customFormat="false" ht="15" hidden="false" customHeight="false" outlineLevel="0" collapsed="false">
      <c r="A31" s="6" t="n">
        <v>5</v>
      </c>
      <c r="B31" s="6" t="s">
        <v>60</v>
      </c>
      <c r="C31" s="6" t="s">
        <v>61</v>
      </c>
      <c r="D31" s="10" t="n">
        <f aca="false">$B$22</f>
        <v>4.2</v>
      </c>
    </row>
    <row r="33" customFormat="false" ht="15" hidden="false" customHeight="false" outlineLevel="0" collapsed="false">
      <c r="A33" s="3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30" hidden="false" customHeight="true" outlineLevel="0" collapsed="false">
      <c r="A34" s="2" t="s">
        <v>63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11" t="s">
        <v>64</v>
      </c>
      <c r="B35" s="12" t="n">
        <v>6</v>
      </c>
      <c r="C35" s="11" t="s">
        <v>27</v>
      </c>
    </row>
    <row r="36" customFormat="false" ht="15" hidden="false" customHeight="false" outlineLevel="0" collapsed="false">
      <c r="A36" s="11" t="s">
        <v>65</v>
      </c>
      <c r="B36" s="12" t="n">
        <v>12</v>
      </c>
      <c r="C36" s="11" t="s">
        <v>27</v>
      </c>
    </row>
    <row r="38" customFormat="false" ht="15" hidden="false" customHeight="false" outlineLevel="0" collapsed="false">
      <c r="A38" s="5" t="s">
        <v>66</v>
      </c>
      <c r="B38" s="5" t="s">
        <v>67</v>
      </c>
      <c r="C38" s="5" t="s">
        <v>68</v>
      </c>
    </row>
    <row r="39" customFormat="false" ht="15" hidden="false" customHeight="false" outlineLevel="0" collapsed="false">
      <c r="A39" s="6" t="s">
        <v>69</v>
      </c>
      <c r="B39" s="6" t="n">
        <v>0</v>
      </c>
      <c r="C39" s="13" t="s">
        <v>69</v>
      </c>
    </row>
    <row r="40" customFormat="false" ht="15" hidden="false" customHeight="false" outlineLevel="0" collapsed="false">
      <c r="A40" s="6" t="s">
        <v>70</v>
      </c>
      <c r="B40" s="6" t="n">
        <v>45</v>
      </c>
      <c r="C40" s="13" t="s">
        <v>69</v>
      </c>
    </row>
    <row r="41" customFormat="false" ht="15" hidden="false" customHeight="false" outlineLevel="0" collapsed="false">
      <c r="A41" s="6" t="s">
        <v>71</v>
      </c>
      <c r="B41" s="6" t="n">
        <v>90</v>
      </c>
      <c r="C41" s="13" t="s">
        <v>69</v>
      </c>
    </row>
    <row r="42" customFormat="false" ht="15" hidden="false" customHeight="false" outlineLevel="0" collapsed="false">
      <c r="A42" s="6" t="s">
        <v>72</v>
      </c>
      <c r="B42" s="6" t="n">
        <v>135</v>
      </c>
      <c r="C42" s="13" t="s">
        <v>69</v>
      </c>
    </row>
    <row r="43" customFormat="false" ht="15" hidden="false" customHeight="false" outlineLevel="0" collapsed="false">
      <c r="A43" s="6" t="s">
        <v>73</v>
      </c>
      <c r="B43" s="6" t="n">
        <v>180</v>
      </c>
      <c r="C43" s="13" t="s">
        <v>69</v>
      </c>
    </row>
    <row r="44" customFormat="false" ht="15" hidden="false" customHeight="false" outlineLevel="0" collapsed="false">
      <c r="A44" s="6" t="s">
        <v>74</v>
      </c>
      <c r="B44" s="6" t="n">
        <v>225</v>
      </c>
      <c r="C44" s="13" t="s">
        <v>75</v>
      </c>
    </row>
    <row r="45" customFormat="false" ht="15" hidden="false" customHeight="false" outlineLevel="0" collapsed="false">
      <c r="A45" s="6" t="s">
        <v>76</v>
      </c>
      <c r="B45" s="6" t="n">
        <v>270</v>
      </c>
      <c r="C45" s="13" t="s">
        <v>75</v>
      </c>
    </row>
    <row r="46" customFormat="false" ht="15" hidden="false" customHeight="false" outlineLevel="0" collapsed="false">
      <c r="A46" s="6" t="s">
        <v>77</v>
      </c>
      <c r="B46" s="6" t="n">
        <v>315</v>
      </c>
      <c r="C46" s="13" t="s">
        <v>69</v>
      </c>
    </row>
    <row r="48" customFormat="false" ht="15" hidden="false" customHeight="false" outlineLevel="0" collapsed="false">
      <c r="A48" s="3" t="s">
        <v>78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30" hidden="false" customHeight="true" outlineLevel="0" collapsed="false">
      <c r="A49" s="2" t="s">
        <v>79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11" t="s">
        <v>80</v>
      </c>
      <c r="B50" s="12" t="n">
        <v>10</v>
      </c>
      <c r="C50" s="11" t="s">
        <v>27</v>
      </c>
    </row>
    <row r="51" customFormat="false" ht="15" hidden="false" customHeight="false" outlineLevel="0" collapsed="false">
      <c r="A51" s="11" t="s">
        <v>81</v>
      </c>
      <c r="B51" s="12" t="n">
        <v>13</v>
      </c>
      <c r="C51" s="11" t="s">
        <v>27</v>
      </c>
    </row>
    <row r="52" customFormat="false" ht="15" hidden="false" customHeight="false" outlineLevel="0" collapsed="false">
      <c r="A52" s="11" t="s">
        <v>82</v>
      </c>
      <c r="B52" s="12" t="n">
        <v>262</v>
      </c>
      <c r="C52" s="11" t="s">
        <v>17</v>
      </c>
    </row>
    <row r="53" customFormat="false" ht="15" hidden="false" customHeight="false" outlineLevel="0" collapsed="false">
      <c r="A53" s="11" t="s">
        <v>83</v>
      </c>
      <c r="B53" s="12" t="n">
        <v>0.7</v>
      </c>
      <c r="C53" s="11" t="s">
        <v>84</v>
      </c>
    </row>
    <row r="54" customFormat="false" ht="15" hidden="false" customHeight="false" outlineLevel="0" collapsed="false">
      <c r="A54" s="11" t="s">
        <v>85</v>
      </c>
      <c r="B54" s="14" t="n">
        <f aca="false">IF(AND(ISNUMBER($B$51),ISNUMBER($B$50)),$B$51/MAX($B$50,$B$14),"")</f>
        <v>1.3</v>
      </c>
      <c r="C54" s="15" t="s">
        <v>86</v>
      </c>
    </row>
    <row r="56" customFormat="false" ht="15" hidden="false" customHeight="false" outlineLevel="0" collapsed="false">
      <c r="A56" s="3" t="s">
        <v>87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30" hidden="false" customHeight="true" outlineLevel="0" collapsed="false">
      <c r="A57" s="2" t="s">
        <v>88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30" hidden="false" customHeight="true" outlineLevel="0" collapsed="false">
      <c r="A58" s="5" t="s">
        <v>89</v>
      </c>
      <c r="B58" s="5" t="s">
        <v>90</v>
      </c>
      <c r="C58" s="5" t="s">
        <v>91</v>
      </c>
      <c r="D58" s="5" t="s">
        <v>92</v>
      </c>
      <c r="E58" s="5" t="s">
        <v>93</v>
      </c>
      <c r="F58" s="5" t="s">
        <v>94</v>
      </c>
      <c r="G58" s="5" t="s">
        <v>95</v>
      </c>
      <c r="H58" s="5" t="s">
        <v>96</v>
      </c>
      <c r="I58" s="5" t="s">
        <v>97</v>
      </c>
      <c r="J58" s="5" t="s">
        <v>98</v>
      </c>
      <c r="K58" s="5" t="s">
        <v>99</v>
      </c>
      <c r="L58" s="5" t="s">
        <v>100</v>
      </c>
      <c r="M58" s="5" t="s">
        <v>101</v>
      </c>
      <c r="N58" s="5" t="s">
        <v>102</v>
      </c>
      <c r="O58" s="5" t="s">
        <v>103</v>
      </c>
      <c r="P58" s="5" t="s">
        <v>104</v>
      </c>
      <c r="Q58" s="5" t="s">
        <v>105</v>
      </c>
      <c r="R58" s="5" t="s">
        <v>106</v>
      </c>
      <c r="S58" s="5" t="s">
        <v>107</v>
      </c>
      <c r="T58" s="5" t="s">
        <v>108</v>
      </c>
    </row>
    <row r="59" customFormat="false" ht="15" hidden="false" customHeight="false" outlineLevel="0" collapsed="false">
      <c r="A59" s="13" t="s">
        <v>109</v>
      </c>
      <c r="B59" s="12" t="n">
        <v>9</v>
      </c>
      <c r="C59" s="12" t="n">
        <v>11</v>
      </c>
      <c r="D59" s="16" t="n">
        <v>265</v>
      </c>
      <c r="E59" s="12" t="n">
        <v>0.6</v>
      </c>
      <c r="F59" s="16" t="n">
        <v>5</v>
      </c>
      <c r="G59" s="17" t="n">
        <f aca="false">IF(AND(ISNUMBER(C59),ISNUMBER(B59)),C59/MAX(B59,$B$14),"")</f>
        <v>1.22222222222222</v>
      </c>
      <c r="H59" s="18" t="b">
        <f aca="false">IF(ISNUMBER(F59),IF($B$71&gt;=$B$7,F59&gt;=4,F59&gt;=3),FALSE())</f>
        <v>1</v>
      </c>
      <c r="I59" s="18" t="b">
        <f aca="false">AND(ISNUMBER(F59),F59&lt;=2)</f>
        <v>0</v>
      </c>
      <c r="J59" s="17" t="n">
        <f aca="false">IF(OR($B$73="none",NOT(ISNUMBER(B59))),"",IF(AND(B59&gt;=$C$73,B59&lt;=$D$73),1,MAX(0,1-IF(B59&lt;$C$73,($C$73-B59)/MAX(ABS($C$73),0.5),(B59-$D$73)/MAX(ABS($D$73),0.5))/$B$12)))</f>
        <v>1</v>
      </c>
      <c r="K59" s="17" t="n">
        <f aca="false">IF(OR($B$74="none",NOT(ISNUMBER(G59))),"",IF(AND(G59&gt;=$C$74,G59&lt;=$D$74),1,MAX(0,1-IF(G59&lt;$C$74,($C$74-G59)/MAX(ABS($C$74),0.5),(G59-$D$74)/MAX(ABS($D$74),0.5))/$B$12)))</f>
        <v>1</v>
      </c>
      <c r="L59" s="17" t="n">
        <f aca="false">IF(OR($B$75="none",NOT(ISNUMBER(D59))),"",IF(IF($B$75="sessions",P59-$B$10,Q59)&lt;=0,1,MAX(0,1-IF($B$75="sessions",P59-$B$10,Q59)/$B$13)))</f>
        <v>1</v>
      </c>
      <c r="M59" s="17" t="n">
        <f aca="false">IF(OR($B$76="none",NOT(ISNUMBER(E59))),"",IF(AND(E59&gt;=$C$76,E59&lt;=$D$76),1,MAX(0,1-IF(E59&lt;$C$76,($C$76-E59)/MAX(ABS($C$76),0.5),(E59-$D$76)/MAX(ABS($D$76),0.5))/$B$12)))</f>
        <v>1</v>
      </c>
      <c r="N59" s="17" t="n">
        <f aca="false">IF(AND(ISNUMBER(F59),(IF(ISNUMBER(J59),$J$73,0)+IF(ISNUMBER(K59),$J$74,0)+IF(ISNUMBER(L59),$J$75,0)+IF(ISNUMBER(M59),$J$76,0))&gt;0),(IF(ISNUMBER(J59),$J$73*J59,0)+IF(ISNUMBER(K59),$J$74*K59,0)+IF(ISNUMBER(L59),$J$75*L59,0)+IF(ISNUMBER(M59),$J$76*M59,0))/(IF(ISNUMBER(J59),$J$73,0)+IF(ISNUMBER(K59),$J$74,0)+IF(ISNUMBER(L59),$J$75,0)+IF(ISNUMBER(M59),$J$76,0))*IF(AND(ISNUMBER(J59),J59=0),1-$J$73,1)*IF(AND(ISNUMBER(K59),K59=0),1-$J$74,1)*IF(AND(ISNUMBER(L59),L59=0),1-$J$75,1)*IF(AND(ISNUMBER(M59),M59=0),1-$J$76,1),"")</f>
        <v>1</v>
      </c>
      <c r="O59" s="18" t="b">
        <f aca="false">AND(ISNUMBER(N59),N59&gt;=$B$19)</f>
        <v>1</v>
      </c>
      <c r="P59" s="19" t="n">
        <f aca="false">IF(ISNUMBER(D59),MIN(IF(AND($H$59,ISNUMBER($D$59)),ABS(MOD(D59-$D$59+540,360)-180),999),IF(AND($H$60,ISNUMBER($D$60)),ABS(MOD(D59-$D$60+540,360)-180),999),IF(AND($H$61,ISNUMBER($D$61)),ABS(MOD(D59-$D$61+540,360)-180),999),IF(AND($H$62,ISNUMBER($D$62)),ABS(MOD(D59-$D$62+540,360)-180),999),IF(AND($H$63,ISNUMBER($D$63)),ABS(MOD(D59-$D$63+540,360)-180),999),IF(AND($H$64,ISNUMBER($D$64)),ABS(MOD(D59-$D$64+540,360)-180),999),IF(AND($H$65,ISNUMBER($D$65)),ABS(MOD(D59-$D$65+540,360)-180),999),IF(AND($H$66,ISNUMBER($D$66)),ABS(MOD(D59-$D$66+540,360)-180),999),IF(AND($H$67,ISNUMBER($D$67)),ABS(MOD(D59-$D$67+540,360)-180),999),IF(AND($H$68,ISNUMBER($D$68)),ABS(MOD(D59-$D$68+540,360)-180),999)),"")</f>
        <v>0</v>
      </c>
      <c r="Q59" s="19" t="n">
        <f aca="false">IF(ISNUMBER(D59),MIN(IF($C$39="Y",ABS(MOD(D59-$B$39+540,360)-180),999),IF($C$40="Y",ABS(MOD(D59-$B$40+540,360)-180),999),IF($C$41="Y",ABS(MOD(D59-$B$41+540,360)-180),999),IF($C$42="Y",ABS(MOD(D59-$B$42+540,360)-180),999),IF($C$43="Y",ABS(MOD(D59-$B$43+540,360)-180),999),IF($C$44="Y",ABS(MOD(D59-$B$44+540,360)-180),999),IF($C$45="Y",ABS(MOD(D59-$B$45+540,360)-180),999),IF($C$46="Y",ABS(MOD(D59-$B$46+540,360)-180),999))-$B$11,"")</f>
        <v>-17.5</v>
      </c>
      <c r="R59" s="20" t="n">
        <f aca="false">IF(AND(H59,ISNUMBER(B59)),B59,"")</f>
        <v>9</v>
      </c>
      <c r="S59" s="17" t="n">
        <f aca="false">IF(AND(H59,ISNUMBER(G59)),G59,"")</f>
        <v>1.22222222222222</v>
      </c>
      <c r="T59" s="20" t="n">
        <f aca="false">IF(AND(H59,ISNUMBER(E59)),E59,"")</f>
        <v>0.6</v>
      </c>
    </row>
    <row r="60" customFormat="false" ht="15" hidden="false" customHeight="false" outlineLevel="0" collapsed="false">
      <c r="A60" s="13" t="s">
        <v>110</v>
      </c>
      <c r="B60" s="12" t="n">
        <v>11</v>
      </c>
      <c r="C60" s="12" t="n">
        <v>14</v>
      </c>
      <c r="D60" s="16" t="n">
        <v>250</v>
      </c>
      <c r="E60" s="12" t="n">
        <v>0.8</v>
      </c>
      <c r="F60" s="16" t="n">
        <v>5</v>
      </c>
      <c r="G60" s="17" t="n">
        <f aca="false">IF(AND(ISNUMBER(C60),ISNUMBER(B60)),C60/MAX(B60,$B$14),"")</f>
        <v>1.27272727272727</v>
      </c>
      <c r="H60" s="18" t="b">
        <f aca="false">IF(ISNUMBER(F60),IF($B$71&gt;=$B$7,F60&gt;=4,F60&gt;=3),FALSE())</f>
        <v>1</v>
      </c>
      <c r="I60" s="18" t="b">
        <f aca="false">AND(ISNUMBER(F60),F60&lt;=2)</f>
        <v>0</v>
      </c>
      <c r="J60" s="17" t="n">
        <f aca="false">IF(OR($B$73="none",NOT(ISNUMBER(B60))),"",IF(AND(B60&gt;=$C$73,B60&lt;=$D$73),1,MAX(0,1-IF(B60&lt;$C$73,($C$73-B60)/MAX(ABS($C$73),0.5),(B60-$D$73)/MAX(ABS($D$73),0.5))/$B$12)))</f>
        <v>1</v>
      </c>
      <c r="K60" s="17" t="n">
        <f aca="false">IF(OR($B$74="none",NOT(ISNUMBER(G60))),"",IF(AND(G60&gt;=$C$74,G60&lt;=$D$74),1,MAX(0,1-IF(G60&lt;$C$74,($C$74-G60)/MAX(ABS($C$74),0.5),(G60-$D$74)/MAX(ABS($D$74),0.5))/$B$12)))</f>
        <v>1</v>
      </c>
      <c r="L60" s="17" t="n">
        <f aca="false">IF(OR($B$75="none",NOT(ISNUMBER(D60))),"",IF(IF($B$75="sessions",P60-$B$10,Q60)&lt;=0,1,MAX(0,1-IF($B$75="sessions",P60-$B$10,Q60)/$B$13)))</f>
        <v>1</v>
      </c>
      <c r="M60" s="17" t="n">
        <f aca="false">IF(OR($B$76="none",NOT(ISNUMBER(E60))),"",IF(AND(E60&gt;=$C$76,E60&lt;=$D$76),1,MAX(0,1-IF(E60&lt;$C$76,($C$76-E60)/MAX(ABS($C$76),0.5),(E60-$D$76)/MAX(ABS($D$76),0.5))/$B$12)))</f>
        <v>1</v>
      </c>
      <c r="N60" s="17" t="n">
        <f aca="false">IF(AND(ISNUMBER(F60),(IF(ISNUMBER(J60),$J$73,0)+IF(ISNUMBER(K60),$J$74,0)+IF(ISNUMBER(L60),$J$75,0)+IF(ISNUMBER(M60),$J$76,0))&gt;0),(IF(ISNUMBER(J60),$J$73*J60,0)+IF(ISNUMBER(K60),$J$74*K60,0)+IF(ISNUMBER(L60),$J$75*L60,0)+IF(ISNUMBER(M60),$J$76*M60,0))/(IF(ISNUMBER(J60),$J$73,0)+IF(ISNUMBER(K60),$J$74,0)+IF(ISNUMBER(L60),$J$75,0)+IF(ISNUMBER(M60),$J$76,0))*IF(AND(ISNUMBER(J60),J60=0),1-$J$73,1)*IF(AND(ISNUMBER(K60),K60=0),1-$J$74,1)*IF(AND(ISNUMBER(L60),L60=0),1-$J$75,1)*IF(AND(ISNUMBER(M60),M60=0),1-$J$76,1),"")</f>
        <v>1</v>
      </c>
      <c r="O60" s="18" t="b">
        <f aca="false">AND(ISNUMBER(N60),N60&gt;=$B$19)</f>
        <v>1</v>
      </c>
      <c r="P60" s="19" t="n">
        <f aca="false">IF(ISNUMBER(D60),MIN(IF(AND($H$59,ISNUMBER($D$59)),ABS(MOD(D60-$D$59+540,360)-180),999),IF(AND($H$60,ISNUMBER($D$60)),ABS(MOD(D60-$D$60+540,360)-180),999),IF(AND($H$61,ISNUMBER($D$61)),ABS(MOD(D60-$D$61+540,360)-180),999),IF(AND($H$62,ISNUMBER($D$62)),ABS(MOD(D60-$D$62+540,360)-180),999),IF(AND($H$63,ISNUMBER($D$63)),ABS(MOD(D60-$D$63+540,360)-180),999),IF(AND($H$64,ISNUMBER($D$64)),ABS(MOD(D60-$D$64+540,360)-180),999),IF(AND($H$65,ISNUMBER($D$65)),ABS(MOD(D60-$D$65+540,360)-180),999),IF(AND($H$66,ISNUMBER($D$66)),ABS(MOD(D60-$D$66+540,360)-180),999),IF(AND($H$67,ISNUMBER($D$67)),ABS(MOD(D60-$D$67+540,360)-180),999),IF(AND($H$68,ISNUMBER($D$68)),ABS(MOD(D60-$D$68+540,360)-180),999)),"")</f>
        <v>0</v>
      </c>
      <c r="Q60" s="19" t="n">
        <f aca="false">IF(ISNUMBER(D60),MIN(IF($C$39="Y",ABS(MOD(D60-$B$39+540,360)-180),999),IF($C$40="Y",ABS(MOD(D60-$B$40+540,360)-180),999),IF($C$41="Y",ABS(MOD(D60-$B$41+540,360)-180),999),IF($C$42="Y",ABS(MOD(D60-$B$42+540,360)-180),999),IF($C$43="Y",ABS(MOD(D60-$B$43+540,360)-180),999),IF($C$44="Y",ABS(MOD(D60-$B$44+540,360)-180),999),IF($C$45="Y",ABS(MOD(D60-$B$45+540,360)-180),999),IF($C$46="Y",ABS(MOD(D60-$B$46+540,360)-180),999))-$B$11,"")</f>
        <v>-2.5</v>
      </c>
      <c r="R60" s="20" t="n">
        <f aca="false">IF(AND(H60,ISNUMBER(B60)),B60,"")</f>
        <v>11</v>
      </c>
      <c r="S60" s="17" t="n">
        <f aca="false">IF(AND(H60,ISNUMBER(G60)),G60,"")</f>
        <v>1.27272727272727</v>
      </c>
      <c r="T60" s="20" t="n">
        <f aca="false">IF(AND(H60,ISNUMBER(E60)),E60,"")</f>
        <v>0.8</v>
      </c>
    </row>
    <row r="61" customFormat="false" ht="15" hidden="false" customHeight="false" outlineLevel="0" collapsed="false">
      <c r="A61" s="13" t="s">
        <v>111</v>
      </c>
      <c r="B61" s="12" t="n">
        <v>10</v>
      </c>
      <c r="C61" s="12" t="n">
        <v>13</v>
      </c>
      <c r="D61" s="16" t="n">
        <v>275</v>
      </c>
      <c r="E61" s="12" t="n">
        <v>0.7</v>
      </c>
      <c r="F61" s="16" t="n">
        <v>4</v>
      </c>
      <c r="G61" s="17" t="n">
        <f aca="false">IF(AND(ISNUMBER(C61),ISNUMBER(B61)),C61/MAX(B61,$B$14),"")</f>
        <v>1.3</v>
      </c>
      <c r="H61" s="18" t="b">
        <f aca="false">IF(ISNUMBER(F61),IF($B$71&gt;=$B$7,F61&gt;=4,F61&gt;=3),FALSE())</f>
        <v>1</v>
      </c>
      <c r="I61" s="18" t="b">
        <f aca="false">AND(ISNUMBER(F61),F61&lt;=2)</f>
        <v>0</v>
      </c>
      <c r="J61" s="17" t="n">
        <f aca="false">IF(OR($B$73="none",NOT(ISNUMBER(B61))),"",IF(AND(B61&gt;=$C$73,B61&lt;=$D$73),1,MAX(0,1-IF(B61&lt;$C$73,($C$73-B61)/MAX(ABS($C$73),0.5),(B61-$D$73)/MAX(ABS($D$73),0.5))/$B$12)))</f>
        <v>1</v>
      </c>
      <c r="K61" s="17" t="n">
        <f aca="false">IF(OR($B$74="none",NOT(ISNUMBER(G61))),"",IF(AND(G61&gt;=$C$74,G61&lt;=$D$74),1,MAX(0,1-IF(G61&lt;$C$74,($C$74-G61)/MAX(ABS($C$74),0.5),(G61-$D$74)/MAX(ABS($D$74),0.5))/$B$12)))</f>
        <v>1</v>
      </c>
      <c r="L61" s="17" t="n">
        <f aca="false">IF(OR($B$75="none",NOT(ISNUMBER(D61))),"",IF(IF($B$75="sessions",P61-$B$10,Q61)&lt;=0,1,MAX(0,1-IF($B$75="sessions",P61-$B$10,Q61)/$B$13)))</f>
        <v>1</v>
      </c>
      <c r="M61" s="17" t="n">
        <f aca="false">IF(OR($B$76="none",NOT(ISNUMBER(E61))),"",IF(AND(E61&gt;=$C$76,E61&lt;=$D$76),1,MAX(0,1-IF(E61&lt;$C$76,($C$76-E61)/MAX(ABS($C$76),0.5),(E61-$D$76)/MAX(ABS($D$76),0.5))/$B$12)))</f>
        <v>1</v>
      </c>
      <c r="N61" s="17" t="n">
        <f aca="false">IF(AND(ISNUMBER(F61),(IF(ISNUMBER(J61),$J$73,0)+IF(ISNUMBER(K61),$J$74,0)+IF(ISNUMBER(L61),$J$75,0)+IF(ISNUMBER(M61),$J$76,0))&gt;0),(IF(ISNUMBER(J61),$J$73*J61,0)+IF(ISNUMBER(K61),$J$74*K61,0)+IF(ISNUMBER(L61),$J$75*L61,0)+IF(ISNUMBER(M61),$J$76*M61,0))/(IF(ISNUMBER(J61),$J$73,0)+IF(ISNUMBER(K61),$J$74,0)+IF(ISNUMBER(L61),$J$75,0)+IF(ISNUMBER(M61),$J$76,0))*IF(AND(ISNUMBER(J61),J61=0),1-$J$73,1)*IF(AND(ISNUMBER(K61),K61=0),1-$J$74,1)*IF(AND(ISNUMBER(L61),L61=0),1-$J$75,1)*IF(AND(ISNUMBER(M61),M61=0),1-$J$76,1),"")</f>
        <v>1</v>
      </c>
      <c r="O61" s="18" t="b">
        <f aca="false">AND(ISNUMBER(N61),N61&gt;=$B$19)</f>
        <v>1</v>
      </c>
      <c r="P61" s="19" t="n">
        <f aca="false">IF(ISNUMBER(D61),MIN(IF(AND($H$59,ISNUMBER($D$59)),ABS(MOD(D61-$D$59+540,360)-180),999),IF(AND($H$60,ISNUMBER($D$60)),ABS(MOD(D61-$D$60+540,360)-180),999),IF(AND($H$61,ISNUMBER($D$61)),ABS(MOD(D61-$D$61+540,360)-180),999),IF(AND($H$62,ISNUMBER($D$62)),ABS(MOD(D61-$D$62+540,360)-180),999),IF(AND($H$63,ISNUMBER($D$63)),ABS(MOD(D61-$D$63+540,360)-180),999),IF(AND($H$64,ISNUMBER($D$64)),ABS(MOD(D61-$D$64+540,360)-180),999),IF(AND($H$65,ISNUMBER($D$65)),ABS(MOD(D61-$D$65+540,360)-180),999),IF(AND($H$66,ISNUMBER($D$66)),ABS(MOD(D61-$D$66+540,360)-180),999),IF(AND($H$67,ISNUMBER($D$67)),ABS(MOD(D61-$D$67+540,360)-180),999),IF(AND($H$68,ISNUMBER($D$68)),ABS(MOD(D61-$D$68+540,360)-180),999)),"")</f>
        <v>0</v>
      </c>
      <c r="Q61" s="19" t="n">
        <f aca="false">IF(ISNUMBER(D61),MIN(IF($C$39="Y",ABS(MOD(D61-$B$39+540,360)-180),999),IF($C$40="Y",ABS(MOD(D61-$B$40+540,360)-180),999),IF($C$41="Y",ABS(MOD(D61-$B$41+540,360)-180),999),IF($C$42="Y",ABS(MOD(D61-$B$42+540,360)-180),999),IF($C$43="Y",ABS(MOD(D61-$B$43+540,360)-180),999),IF($C$44="Y",ABS(MOD(D61-$B$44+540,360)-180),999),IF($C$45="Y",ABS(MOD(D61-$B$45+540,360)-180),999),IF($C$46="Y",ABS(MOD(D61-$B$46+540,360)-180),999))-$B$11,"")</f>
        <v>-17.5</v>
      </c>
      <c r="R61" s="20" t="n">
        <f aca="false">IF(AND(H61,ISNUMBER(B61)),B61,"")</f>
        <v>10</v>
      </c>
      <c r="S61" s="17" t="n">
        <f aca="false">IF(AND(H61,ISNUMBER(G61)),G61,"")</f>
        <v>1.3</v>
      </c>
      <c r="T61" s="20" t="n">
        <f aca="false">IF(AND(H61,ISNUMBER(E61)),E61,"")</f>
        <v>0.7</v>
      </c>
    </row>
    <row r="62" customFormat="false" ht="15" hidden="false" customHeight="false" outlineLevel="0" collapsed="false">
      <c r="A62" s="13" t="s">
        <v>112</v>
      </c>
      <c r="B62" s="12" t="n">
        <v>13</v>
      </c>
      <c r="C62" s="12" t="n">
        <v>20</v>
      </c>
      <c r="D62" s="16" t="n">
        <v>270</v>
      </c>
      <c r="E62" s="12" t="n">
        <v>1.8</v>
      </c>
      <c r="F62" s="16" t="n">
        <v>2</v>
      </c>
      <c r="G62" s="17" t="n">
        <f aca="false">IF(AND(ISNUMBER(C62),ISNUMBER(B62)),C62/MAX(B62,$B$14),"")</f>
        <v>1.53846153846154</v>
      </c>
      <c r="H62" s="18" t="b">
        <f aca="false">IF(ISNUMBER(F62),IF($B$71&gt;=$B$7,F62&gt;=4,F62&gt;=3),FALSE())</f>
        <v>0</v>
      </c>
      <c r="I62" s="18" t="b">
        <f aca="false">AND(ISNUMBER(F62),F62&lt;=2)</f>
        <v>1</v>
      </c>
      <c r="J62" s="17" t="n">
        <f aca="false">IF(OR($B$73="none",NOT(ISNUMBER(B62))),"",IF(AND(B62&gt;=$C$73,B62&lt;=$D$73),1,MAX(0,1-IF(B62&lt;$C$73,($C$73-B62)/MAX(ABS($C$73),0.5),(B62-$D$73)/MAX(ABS($D$73),0.5))/$B$12)))</f>
        <v>0.702479338842976</v>
      </c>
      <c r="K62" s="17" t="n">
        <f aca="false">IF(OR($B$74="none",NOT(ISNUMBER(G62))),"",IF(AND(G62&gt;=$C$74,G62&lt;=$D$74),1,MAX(0,1-IF(G62&lt;$C$74,($C$74-G62)/MAX(ABS($C$74),0.5),(G62-$D$74)/MAX(ABS($D$74),0.5))/$B$12)))</f>
        <v>0.696611081226466</v>
      </c>
      <c r="L62" s="17" t="n">
        <f aca="false">IF(OR($B$75="none",NOT(ISNUMBER(D62))),"",IF(IF($B$75="sessions",P62-$B$10,Q62)&lt;=0,1,MAX(0,1-IF($B$75="sessions",P62-$B$10,Q62)/$B$13)))</f>
        <v>1</v>
      </c>
      <c r="M62" s="17" t="n">
        <f aca="false">IF(OR($B$76="none",NOT(ISNUMBER(E62))),"",IF(AND(E62&gt;=$C$76,E62&lt;=$D$76),1,MAX(0,1-IF(E62&lt;$C$76,($C$76-E62)/MAX(ABS($C$76),0.5),(E62-$D$76)/MAX(ABS($D$76),0.5))/$B$12)))</f>
        <v>0</v>
      </c>
      <c r="N62" s="17" t="n">
        <f aca="false">IF(AND(ISNUMBER(F62),(IF(ISNUMBER(J62),$J$73,0)+IF(ISNUMBER(K62),$J$74,0)+IF(ISNUMBER(L62),$J$75,0)+IF(ISNUMBER(M62),$J$76,0))&gt;0),(IF(ISNUMBER(J62),$J$73*J62,0)+IF(ISNUMBER(K62),$J$74*K62,0)+IF(ISNUMBER(L62),$J$75*L62,0)+IF(ISNUMBER(M62),$J$76*M62,0))/(IF(ISNUMBER(J62),$J$73,0)+IF(ISNUMBER(K62),$J$74,0)+IF(ISNUMBER(L62),$J$75,0)+IF(ISNUMBER(M62),$J$76,0))*IF(AND(ISNUMBER(J62),J62=0),1-$J$73,1)*IF(AND(ISNUMBER(K62),K62=0),1-$J$74,1)*IF(AND(ISNUMBER(L62),L62=0),1-$J$75,1)*IF(AND(ISNUMBER(M62),M62=0),1-$J$76,1),"")</f>
        <v>0.100012003254216</v>
      </c>
      <c r="O62" s="18" t="b">
        <f aca="false">AND(ISNUMBER(N62),N62&gt;=$B$19)</f>
        <v>0</v>
      </c>
      <c r="P62" s="19" t="n">
        <f aca="false">IF(ISNUMBER(D62),MIN(IF(AND($H$59,ISNUMBER($D$59)),ABS(MOD(D62-$D$59+540,360)-180),999),IF(AND($H$60,ISNUMBER($D$60)),ABS(MOD(D62-$D$60+540,360)-180),999),IF(AND($H$61,ISNUMBER($D$61)),ABS(MOD(D62-$D$61+540,360)-180),999),IF(AND($H$62,ISNUMBER($D$62)),ABS(MOD(D62-$D$62+540,360)-180),999),IF(AND($H$63,ISNUMBER($D$63)),ABS(MOD(D62-$D$63+540,360)-180),999),IF(AND($H$64,ISNUMBER($D$64)),ABS(MOD(D62-$D$64+540,360)-180),999),IF(AND($H$65,ISNUMBER($D$65)),ABS(MOD(D62-$D$65+540,360)-180),999),IF(AND($H$66,ISNUMBER($D$66)),ABS(MOD(D62-$D$66+540,360)-180),999),IF(AND($H$67,ISNUMBER($D$67)),ABS(MOD(D62-$D$67+540,360)-180),999),IF(AND($H$68,ISNUMBER($D$68)),ABS(MOD(D62-$D$68+540,360)-180),999)),"")</f>
        <v>5</v>
      </c>
      <c r="Q62" s="19" t="n">
        <f aca="false">IF(ISNUMBER(D62),MIN(IF($C$39="Y",ABS(MOD(D62-$B$39+540,360)-180),999),IF($C$40="Y",ABS(MOD(D62-$B$40+540,360)-180),999),IF($C$41="Y",ABS(MOD(D62-$B$41+540,360)-180),999),IF($C$42="Y",ABS(MOD(D62-$B$42+540,360)-180),999),IF($C$43="Y",ABS(MOD(D62-$B$43+540,360)-180),999),IF($C$44="Y",ABS(MOD(D62-$B$44+540,360)-180),999),IF($C$45="Y",ABS(MOD(D62-$B$45+540,360)-180),999),IF($C$46="Y",ABS(MOD(D62-$B$46+540,360)-180),999))-$B$11,"")</f>
        <v>-22.5</v>
      </c>
      <c r="R62" s="20" t="str">
        <f aca="false">IF(AND(H62,ISNUMBER(B62)),B62,"")</f>
        <v/>
      </c>
      <c r="S62" s="17" t="str">
        <f aca="false">IF(AND(H62,ISNUMBER(G62)),G62,"")</f>
        <v/>
      </c>
      <c r="T62" s="20" t="str">
        <f aca="false">IF(AND(H62,ISNUMBER(E62)),E62,"")</f>
        <v/>
      </c>
    </row>
    <row r="63" customFormat="false" ht="15" hidden="false" customHeight="false" outlineLevel="0" collapsed="false">
      <c r="A63" s="13" t="s">
        <v>113</v>
      </c>
      <c r="B63" s="12" t="n">
        <v>10</v>
      </c>
      <c r="C63" s="12" t="n">
        <v>13</v>
      </c>
      <c r="D63" s="16" t="n">
        <v>90</v>
      </c>
      <c r="E63" s="12" t="n">
        <v>0.5</v>
      </c>
      <c r="F63" s="16" t="n">
        <v>1</v>
      </c>
      <c r="G63" s="17" t="n">
        <f aca="false">IF(AND(ISNUMBER(C63),ISNUMBER(B63)),C63/MAX(B63,$B$14),"")</f>
        <v>1.3</v>
      </c>
      <c r="H63" s="18" t="b">
        <f aca="false">IF(ISNUMBER(F63),IF($B$71&gt;=$B$7,F63&gt;=4,F63&gt;=3),FALSE())</f>
        <v>0</v>
      </c>
      <c r="I63" s="18" t="b">
        <f aca="false">AND(ISNUMBER(F63),F63&lt;=2)</f>
        <v>1</v>
      </c>
      <c r="J63" s="17" t="n">
        <f aca="false">IF(OR($B$73="none",NOT(ISNUMBER(B63))),"",IF(AND(B63&gt;=$C$73,B63&lt;=$D$73),1,MAX(0,1-IF(B63&lt;$C$73,($C$73-B63)/MAX(ABS($C$73),0.5),(B63-$D$73)/MAX(ABS($D$73),0.5))/$B$12)))</f>
        <v>1</v>
      </c>
      <c r="K63" s="17" t="n">
        <f aca="false">IF(OR($B$74="none",NOT(ISNUMBER(G63))),"",IF(AND(G63&gt;=$C$74,G63&lt;=$D$74),1,MAX(0,1-IF(G63&lt;$C$74,($C$74-G63)/MAX(ABS($C$74),0.5),(G63-$D$74)/MAX(ABS($D$74),0.5))/$B$12)))</f>
        <v>1</v>
      </c>
      <c r="L63" s="17" t="n">
        <f aca="false">IF(OR($B$75="none",NOT(ISNUMBER(D63))),"",IF(IF($B$75="sessions",P63-$B$10,Q63)&lt;=0,1,MAX(0,1-IF($B$75="sessions",P63-$B$10,Q63)/$B$13)))</f>
        <v>0</v>
      </c>
      <c r="M63" s="17" t="n">
        <f aca="false">IF(OR($B$76="none",NOT(ISNUMBER(E63))),"",IF(AND(E63&gt;=$C$76,E63&lt;=$D$76),1,MAX(0,1-IF(E63&lt;$C$76,($C$76-E63)/MAX(ABS($C$76),0.5),(E63-$D$76)/MAX(ABS($D$76),0.5))/$B$12)))</f>
        <v>0.703703703703704</v>
      </c>
      <c r="N63" s="17" t="n">
        <f aca="false">IF(AND(ISNUMBER(F63),(IF(ISNUMBER(J63),$J$73,0)+IF(ISNUMBER(K63),$J$74,0)+IF(ISNUMBER(L63),$J$75,0)+IF(ISNUMBER(M63),$J$76,0))&gt;0),(IF(ISNUMBER(J63),$J$73*J63,0)+IF(ISNUMBER(K63),$J$74*K63,0)+IF(ISNUMBER(L63),$J$75*L63,0)+IF(ISNUMBER(M63),$J$76*M63,0))/(IF(ISNUMBER(J63),$J$73,0)+IF(ISNUMBER(K63),$J$74,0)+IF(ISNUMBER(L63),$J$75,0)+IF(ISNUMBER(M63),$J$76,0))*IF(AND(ISNUMBER(J63),J63=0),1-$J$73,1)*IF(AND(ISNUMBER(K63),K63=0),1-$J$74,1)*IF(AND(ISNUMBER(L63),L63=0),1-$J$75,1)*IF(AND(ISNUMBER(M63),M63=0),1-$J$76,1),"")</f>
        <v>0.426262626262626</v>
      </c>
      <c r="O63" s="18" t="b">
        <f aca="false">AND(ISNUMBER(N63),N63&gt;=$B$19)</f>
        <v>0</v>
      </c>
      <c r="P63" s="19" t="n">
        <f aca="false">IF(ISNUMBER(D63),MIN(IF(AND($H$59,ISNUMBER($D$59)),ABS(MOD(D63-$D$59+540,360)-180),999),IF(AND($H$60,ISNUMBER($D$60)),ABS(MOD(D63-$D$60+540,360)-180),999),IF(AND($H$61,ISNUMBER($D$61)),ABS(MOD(D63-$D$61+540,360)-180),999),IF(AND($H$62,ISNUMBER($D$62)),ABS(MOD(D63-$D$62+540,360)-180),999),IF(AND($H$63,ISNUMBER($D$63)),ABS(MOD(D63-$D$63+540,360)-180),999),IF(AND($H$64,ISNUMBER($D$64)),ABS(MOD(D63-$D$64+540,360)-180),999),IF(AND($H$65,ISNUMBER($D$65)),ABS(MOD(D63-$D$65+540,360)-180),999),IF(AND($H$66,ISNUMBER($D$66)),ABS(MOD(D63-$D$66+540,360)-180),999),IF(AND($H$67,ISNUMBER($D$67)),ABS(MOD(D63-$D$67+540,360)-180),999),IF(AND($H$68,ISNUMBER($D$68)),ABS(MOD(D63-$D$68+540,360)-180),999)),"")</f>
        <v>160</v>
      </c>
      <c r="Q63" s="19" t="n">
        <f aca="false">IF(ISNUMBER(D63),MIN(IF($C$39="Y",ABS(MOD(D63-$B$39+540,360)-180),999),IF($C$40="Y",ABS(MOD(D63-$B$40+540,360)-180),999),IF($C$41="Y",ABS(MOD(D63-$B$41+540,360)-180),999),IF($C$42="Y",ABS(MOD(D63-$B$42+540,360)-180),999),IF($C$43="Y",ABS(MOD(D63-$B$43+540,360)-180),999),IF($C$44="Y",ABS(MOD(D63-$B$44+540,360)-180),999),IF($C$45="Y",ABS(MOD(D63-$B$45+540,360)-180),999),IF($C$46="Y",ABS(MOD(D63-$B$46+540,360)-180),999))-$B$11,"")</f>
        <v>112.5</v>
      </c>
      <c r="R63" s="20" t="str">
        <f aca="false">IF(AND(H63,ISNUMBER(B63)),B63,"")</f>
        <v/>
      </c>
      <c r="S63" s="17" t="str">
        <f aca="false">IF(AND(H63,ISNUMBER(G63)),G63,"")</f>
        <v/>
      </c>
      <c r="T63" s="20" t="str">
        <f aca="false">IF(AND(H63,ISNUMBER(E63)),E63,"")</f>
        <v/>
      </c>
    </row>
    <row r="64" customFormat="false" ht="15" hidden="false" customHeight="false" outlineLevel="0" collapsed="false">
      <c r="A64" s="13" t="s">
        <v>114</v>
      </c>
      <c r="B64" s="12" t="n">
        <v>5</v>
      </c>
      <c r="C64" s="12" t="n">
        <v>7</v>
      </c>
      <c r="D64" s="16" t="n">
        <v>260</v>
      </c>
      <c r="E64" s="12" t="n">
        <v>0.3</v>
      </c>
      <c r="F64" s="16" t="n">
        <v>2</v>
      </c>
      <c r="G64" s="17" t="n">
        <f aca="false">IF(AND(ISNUMBER(C64),ISNUMBER(B64)),C64/MAX(B64,$B$14),"")</f>
        <v>1.4</v>
      </c>
      <c r="H64" s="18" t="b">
        <f aca="false">IF(ISNUMBER(F64),IF($B$71&gt;=$B$7,F64&gt;=4,F64&gt;=3),FALSE())</f>
        <v>0</v>
      </c>
      <c r="I64" s="18" t="b">
        <f aca="false">AND(ISNUMBER(F64),F64&lt;=2)</f>
        <v>1</v>
      </c>
      <c r="J64" s="17" t="n">
        <f aca="false">IF(OR($B$73="none",NOT(ISNUMBER(B64))),"",IF(AND(B64&gt;=$C$73,B64&lt;=$D$73),1,MAX(0,1-IF(B64&lt;$C$73,($C$73-B64)/MAX(ABS($C$73),0.5),(B64-$D$73)/MAX(ABS($D$73),0.5))/$B$12)))</f>
        <v>0</v>
      </c>
      <c r="K64" s="17" t="n">
        <f aca="false">IF(OR($B$74="none",NOT(ISNUMBER(G64))),"",IF(AND(G64&gt;=$C$74,G64&lt;=$D$74),1,MAX(0,1-IF(G64&lt;$C$74,($C$74-G64)/MAX(ABS($C$74),0.5),(G64-$D$74)/MAX(ABS($D$74),0.5))/$B$12)))</f>
        <v>1</v>
      </c>
      <c r="L64" s="17" t="n">
        <f aca="false">IF(OR($B$75="none",NOT(ISNUMBER(D64))),"",IF(IF($B$75="sessions",P64-$B$10,Q64)&lt;=0,1,MAX(0,1-IF($B$75="sessions",P64-$B$10,Q64)/$B$13)))</f>
        <v>1</v>
      </c>
      <c r="M64" s="17" t="n">
        <f aca="false">IF(OR($B$76="none",NOT(ISNUMBER(E64))),"",IF(AND(E64&gt;=$C$76,E64&lt;=$D$76),1,MAX(0,1-IF(E64&lt;$C$76,($C$76-E64)/MAX(ABS($C$76),0.5),(E64-$D$76)/MAX(ABS($D$76),0.5))/$B$12)))</f>
        <v>0</v>
      </c>
      <c r="N64" s="17" t="n">
        <f aca="false">IF(AND(ISNUMBER(F64),(IF(ISNUMBER(J64),$J$73,0)+IF(ISNUMBER(K64),$J$74,0)+IF(ISNUMBER(L64),$J$75,0)+IF(ISNUMBER(M64),$J$76,0))&gt;0),(IF(ISNUMBER(J64),$J$73*J64,0)+IF(ISNUMBER(K64),$J$74*K64,0)+IF(ISNUMBER(L64),$J$75*L64,0)+IF(ISNUMBER(M64),$J$76*M64,0))/(IF(ISNUMBER(J64),$J$73,0)+IF(ISNUMBER(K64),$J$74,0)+IF(ISNUMBER(L64),$J$75,0)+IF(ISNUMBER(M64),$J$76,0))*IF(AND(ISNUMBER(J64),J64=0),1-$J$73,1)*IF(AND(ISNUMBER(K64),K64=0),1-$J$74,1)*IF(AND(ISNUMBER(L64),L64=0),1-$J$75,1)*IF(AND(ISNUMBER(M64),M64=0),1-$J$76,1),"")</f>
        <v>0.0290909090909091</v>
      </c>
      <c r="O64" s="18" t="b">
        <f aca="false">AND(ISNUMBER(N64),N64&gt;=$B$19)</f>
        <v>0</v>
      </c>
      <c r="P64" s="19" t="n">
        <f aca="false">IF(ISNUMBER(D64),MIN(IF(AND($H$59,ISNUMBER($D$59)),ABS(MOD(D64-$D$59+540,360)-180),999),IF(AND($H$60,ISNUMBER($D$60)),ABS(MOD(D64-$D$60+540,360)-180),999),IF(AND($H$61,ISNUMBER($D$61)),ABS(MOD(D64-$D$61+540,360)-180),999),IF(AND($H$62,ISNUMBER($D$62)),ABS(MOD(D64-$D$62+540,360)-180),999),IF(AND($H$63,ISNUMBER($D$63)),ABS(MOD(D64-$D$63+540,360)-180),999),IF(AND($H$64,ISNUMBER($D$64)),ABS(MOD(D64-$D$64+540,360)-180),999),IF(AND($H$65,ISNUMBER($D$65)),ABS(MOD(D64-$D$65+540,360)-180),999),IF(AND($H$66,ISNUMBER($D$66)),ABS(MOD(D64-$D$66+540,360)-180),999),IF(AND($H$67,ISNUMBER($D$67)),ABS(MOD(D64-$D$67+540,360)-180),999),IF(AND($H$68,ISNUMBER($D$68)),ABS(MOD(D64-$D$68+540,360)-180),999)),"")</f>
        <v>5</v>
      </c>
      <c r="Q64" s="19" t="n">
        <f aca="false">IF(ISNUMBER(D64),MIN(IF($C$39="Y",ABS(MOD(D64-$B$39+540,360)-180),999),IF($C$40="Y",ABS(MOD(D64-$B$40+540,360)-180),999),IF($C$41="Y",ABS(MOD(D64-$B$41+540,360)-180),999),IF($C$42="Y",ABS(MOD(D64-$B$42+540,360)-180),999),IF($C$43="Y",ABS(MOD(D64-$B$43+540,360)-180),999),IF($C$44="Y",ABS(MOD(D64-$B$44+540,360)-180),999),IF($C$45="Y",ABS(MOD(D64-$B$45+540,360)-180),999),IF($C$46="Y",ABS(MOD(D64-$B$46+540,360)-180),999))-$B$11,"")</f>
        <v>-12.5</v>
      </c>
      <c r="R64" s="20" t="str">
        <f aca="false">IF(AND(H64,ISNUMBER(B64)),B64,"")</f>
        <v/>
      </c>
      <c r="S64" s="17" t="str">
        <f aca="false">IF(AND(H64,ISNUMBER(G64)),G64,"")</f>
        <v/>
      </c>
      <c r="T64" s="20" t="str">
        <f aca="false">IF(AND(H64,ISNUMBER(E64)),E64,"")</f>
        <v/>
      </c>
    </row>
    <row r="65" customFormat="false" ht="15" hidden="false" customHeight="false" outlineLevel="0" collapsed="false">
      <c r="A65" s="21" t="s">
        <v>115</v>
      </c>
      <c r="B65" s="12"/>
      <c r="C65" s="12"/>
      <c r="D65" s="16"/>
      <c r="E65" s="12"/>
      <c r="F65" s="16"/>
      <c r="G65" s="17" t="str">
        <f aca="false">IF(AND(ISNUMBER(C65),ISNUMBER(B65)),C65/MAX(B65,$B$14),"")</f>
        <v/>
      </c>
      <c r="H65" s="18" t="b">
        <f aca="false">IF(ISNUMBER(F65),IF($B$71&gt;=$B$7,F65&gt;=4,F65&gt;=3),FALSE())</f>
        <v>0</v>
      </c>
      <c r="I65" s="18" t="b">
        <f aca="false">AND(ISNUMBER(F65),F65&lt;=2)</f>
        <v>0</v>
      </c>
      <c r="J65" s="17" t="str">
        <f aca="false">IF(OR($B$73="none",NOT(ISNUMBER(B65))),"",IF(AND(B65&gt;=$C$73,B65&lt;=$D$73),1,MAX(0,1-IF(B65&lt;$C$73,($C$73-B65)/MAX(ABS($C$73),0.5),(B65-$D$73)/MAX(ABS($D$73),0.5))/$B$12)))</f>
        <v/>
      </c>
      <c r="K65" s="17" t="str">
        <f aca="false">IF(OR($B$74="none",NOT(ISNUMBER(G65))),"",IF(AND(G65&gt;=$C$74,G65&lt;=$D$74),1,MAX(0,1-IF(G65&lt;$C$74,($C$74-G65)/MAX(ABS($C$74),0.5),(G65-$D$74)/MAX(ABS($D$74),0.5))/$B$12)))</f>
        <v/>
      </c>
      <c r="L65" s="17" t="str">
        <f aca="false">IF(OR($B$75="none",NOT(ISNUMBER(D65))),"",IF(IF($B$75="sessions",P65-$B$10,Q65)&lt;=0,1,MAX(0,1-IF($B$75="sessions",P65-$B$10,Q65)/$B$13)))</f>
        <v/>
      </c>
      <c r="M65" s="17" t="str">
        <f aca="false">IF(OR($B$76="none",NOT(ISNUMBER(E65))),"",IF(AND(E65&gt;=$C$76,E65&lt;=$D$76),1,MAX(0,1-IF(E65&lt;$C$76,($C$76-E65)/MAX(ABS($C$76),0.5),(E65-$D$76)/MAX(ABS($D$76),0.5))/$B$12)))</f>
        <v/>
      </c>
      <c r="N65" s="17" t="str">
        <f aca="false">IF(AND(ISNUMBER(F65),(IF(ISNUMBER(J65),$J$73,0)+IF(ISNUMBER(K65),$J$74,0)+IF(ISNUMBER(L65),$J$75,0)+IF(ISNUMBER(M65),$J$76,0))&gt;0),(IF(ISNUMBER(J65),$J$73*J65,0)+IF(ISNUMBER(K65),$J$74*K65,0)+IF(ISNUMBER(L65),$J$75*L65,0)+IF(ISNUMBER(M65),$J$76*M65,0))/(IF(ISNUMBER(J65),$J$73,0)+IF(ISNUMBER(K65),$J$74,0)+IF(ISNUMBER(L65),$J$75,0)+IF(ISNUMBER(M65),$J$76,0))*IF(AND(ISNUMBER(J65),J65=0),1-$J$73,1)*IF(AND(ISNUMBER(K65),K65=0),1-$J$74,1)*IF(AND(ISNUMBER(L65),L65=0),1-$J$75,1)*IF(AND(ISNUMBER(M65),M65=0),1-$J$76,1),"")</f>
        <v/>
      </c>
      <c r="O65" s="18" t="b">
        <f aca="false">AND(ISNUMBER(N65),N65&gt;=$B$19)</f>
        <v>0</v>
      </c>
      <c r="P65" s="19" t="str">
        <f aca="false">IF(ISNUMBER(D65),MIN(IF(AND($H$59,ISNUMBER($D$59)),ABS(MOD(D65-$D$59+540,360)-180),999),IF(AND($H$60,ISNUMBER($D$60)),ABS(MOD(D65-$D$60+540,360)-180),999),IF(AND($H$61,ISNUMBER($D$61)),ABS(MOD(D65-$D$61+540,360)-180),999),IF(AND($H$62,ISNUMBER($D$62)),ABS(MOD(D65-$D$62+540,360)-180),999),IF(AND($H$63,ISNUMBER($D$63)),ABS(MOD(D65-$D$63+540,360)-180),999),IF(AND($H$64,ISNUMBER($D$64)),ABS(MOD(D65-$D$64+540,360)-180),999),IF(AND($H$65,ISNUMBER($D$65)),ABS(MOD(D65-$D$65+540,360)-180),999),IF(AND($H$66,ISNUMBER($D$66)),ABS(MOD(D65-$D$66+540,360)-180),999),IF(AND($H$67,ISNUMBER($D$67)),ABS(MOD(D65-$D$67+540,360)-180),999),IF(AND($H$68,ISNUMBER($D$68)),ABS(MOD(D65-$D$68+540,360)-180),999)),"")</f>
        <v/>
      </c>
      <c r="Q65" s="19" t="str">
        <f aca="false">IF(ISNUMBER(D65),MIN(IF($C$39="Y",ABS(MOD(D65-$B$39+540,360)-180),999),IF($C$40="Y",ABS(MOD(D65-$B$40+540,360)-180),999),IF($C$41="Y",ABS(MOD(D65-$B$41+540,360)-180),999),IF($C$42="Y",ABS(MOD(D65-$B$42+540,360)-180),999),IF($C$43="Y",ABS(MOD(D65-$B$43+540,360)-180),999),IF($C$44="Y",ABS(MOD(D65-$B$44+540,360)-180),999),IF($C$45="Y",ABS(MOD(D65-$B$45+540,360)-180),999),IF($C$46="Y",ABS(MOD(D65-$B$46+540,360)-180),999))-$B$11,"")</f>
        <v/>
      </c>
      <c r="R65" s="20" t="str">
        <f aca="false">IF(AND(H65,ISNUMBER(B65)),B65,"")</f>
        <v/>
      </c>
      <c r="S65" s="17" t="str">
        <f aca="false">IF(AND(H65,ISNUMBER(G65)),G65,"")</f>
        <v/>
      </c>
      <c r="T65" s="20" t="str">
        <f aca="false">IF(AND(H65,ISNUMBER(E65)),E65,"")</f>
        <v/>
      </c>
    </row>
    <row r="66" customFormat="false" ht="15" hidden="false" customHeight="false" outlineLevel="0" collapsed="false">
      <c r="A66" s="21" t="s">
        <v>116</v>
      </c>
      <c r="B66" s="12"/>
      <c r="C66" s="12"/>
      <c r="D66" s="16"/>
      <c r="E66" s="12"/>
      <c r="F66" s="16"/>
      <c r="G66" s="17" t="str">
        <f aca="false">IF(AND(ISNUMBER(C66),ISNUMBER(B66)),C66/MAX(B66,$B$14),"")</f>
        <v/>
      </c>
      <c r="H66" s="18" t="b">
        <f aca="false">IF(ISNUMBER(F66),IF($B$71&gt;=$B$7,F66&gt;=4,F66&gt;=3),FALSE())</f>
        <v>0</v>
      </c>
      <c r="I66" s="18" t="b">
        <f aca="false">AND(ISNUMBER(F66),F66&lt;=2)</f>
        <v>0</v>
      </c>
      <c r="J66" s="17" t="str">
        <f aca="false">IF(OR($B$73="none",NOT(ISNUMBER(B66))),"",IF(AND(B66&gt;=$C$73,B66&lt;=$D$73),1,MAX(0,1-IF(B66&lt;$C$73,($C$73-B66)/MAX(ABS($C$73),0.5),(B66-$D$73)/MAX(ABS($D$73),0.5))/$B$12)))</f>
        <v/>
      </c>
      <c r="K66" s="17" t="str">
        <f aca="false">IF(OR($B$74="none",NOT(ISNUMBER(G66))),"",IF(AND(G66&gt;=$C$74,G66&lt;=$D$74),1,MAX(0,1-IF(G66&lt;$C$74,($C$74-G66)/MAX(ABS($C$74),0.5),(G66-$D$74)/MAX(ABS($D$74),0.5))/$B$12)))</f>
        <v/>
      </c>
      <c r="L66" s="17" t="str">
        <f aca="false">IF(OR($B$75="none",NOT(ISNUMBER(D66))),"",IF(IF($B$75="sessions",P66-$B$10,Q66)&lt;=0,1,MAX(0,1-IF($B$75="sessions",P66-$B$10,Q66)/$B$13)))</f>
        <v/>
      </c>
      <c r="M66" s="17" t="str">
        <f aca="false">IF(OR($B$76="none",NOT(ISNUMBER(E66))),"",IF(AND(E66&gt;=$C$76,E66&lt;=$D$76),1,MAX(0,1-IF(E66&lt;$C$76,($C$76-E66)/MAX(ABS($C$76),0.5),(E66-$D$76)/MAX(ABS($D$76),0.5))/$B$12)))</f>
        <v/>
      </c>
      <c r="N66" s="17" t="str">
        <f aca="false">IF(AND(ISNUMBER(F66),(IF(ISNUMBER(J66),$J$73,0)+IF(ISNUMBER(K66),$J$74,0)+IF(ISNUMBER(L66),$J$75,0)+IF(ISNUMBER(M66),$J$76,0))&gt;0),(IF(ISNUMBER(J66),$J$73*J66,0)+IF(ISNUMBER(K66),$J$74*K66,0)+IF(ISNUMBER(L66),$J$75*L66,0)+IF(ISNUMBER(M66),$J$76*M66,0))/(IF(ISNUMBER(J66),$J$73,0)+IF(ISNUMBER(K66),$J$74,0)+IF(ISNUMBER(L66),$J$75,0)+IF(ISNUMBER(M66),$J$76,0))*IF(AND(ISNUMBER(J66),J66=0),1-$J$73,1)*IF(AND(ISNUMBER(K66),K66=0),1-$J$74,1)*IF(AND(ISNUMBER(L66),L66=0),1-$J$75,1)*IF(AND(ISNUMBER(M66),M66=0),1-$J$76,1),"")</f>
        <v/>
      </c>
      <c r="O66" s="18" t="b">
        <f aca="false">AND(ISNUMBER(N66),N66&gt;=$B$19)</f>
        <v>0</v>
      </c>
      <c r="P66" s="19" t="str">
        <f aca="false">IF(ISNUMBER(D66),MIN(IF(AND($H$59,ISNUMBER($D$59)),ABS(MOD(D66-$D$59+540,360)-180),999),IF(AND($H$60,ISNUMBER($D$60)),ABS(MOD(D66-$D$60+540,360)-180),999),IF(AND($H$61,ISNUMBER($D$61)),ABS(MOD(D66-$D$61+540,360)-180),999),IF(AND($H$62,ISNUMBER($D$62)),ABS(MOD(D66-$D$62+540,360)-180),999),IF(AND($H$63,ISNUMBER($D$63)),ABS(MOD(D66-$D$63+540,360)-180),999),IF(AND($H$64,ISNUMBER($D$64)),ABS(MOD(D66-$D$64+540,360)-180),999),IF(AND($H$65,ISNUMBER($D$65)),ABS(MOD(D66-$D$65+540,360)-180),999),IF(AND($H$66,ISNUMBER($D$66)),ABS(MOD(D66-$D$66+540,360)-180),999),IF(AND($H$67,ISNUMBER($D$67)),ABS(MOD(D66-$D$67+540,360)-180),999),IF(AND($H$68,ISNUMBER($D$68)),ABS(MOD(D66-$D$68+540,360)-180),999)),"")</f>
        <v/>
      </c>
      <c r="Q66" s="19" t="str">
        <f aca="false">IF(ISNUMBER(D66),MIN(IF($C$39="Y",ABS(MOD(D66-$B$39+540,360)-180),999),IF($C$40="Y",ABS(MOD(D66-$B$40+540,360)-180),999),IF($C$41="Y",ABS(MOD(D66-$B$41+540,360)-180),999),IF($C$42="Y",ABS(MOD(D66-$B$42+540,360)-180),999),IF($C$43="Y",ABS(MOD(D66-$B$43+540,360)-180),999),IF($C$44="Y",ABS(MOD(D66-$B$44+540,360)-180),999),IF($C$45="Y",ABS(MOD(D66-$B$45+540,360)-180),999),IF($C$46="Y",ABS(MOD(D66-$B$46+540,360)-180),999))-$B$11,"")</f>
        <v/>
      </c>
      <c r="R66" s="20" t="str">
        <f aca="false">IF(AND(H66,ISNUMBER(B66)),B66,"")</f>
        <v/>
      </c>
      <c r="S66" s="17" t="str">
        <f aca="false">IF(AND(H66,ISNUMBER(G66)),G66,"")</f>
        <v/>
      </c>
      <c r="T66" s="20" t="str">
        <f aca="false">IF(AND(H66,ISNUMBER(E66)),E66,"")</f>
        <v/>
      </c>
    </row>
    <row r="67" customFormat="false" ht="15" hidden="false" customHeight="false" outlineLevel="0" collapsed="false">
      <c r="A67" s="21" t="s">
        <v>117</v>
      </c>
      <c r="B67" s="12"/>
      <c r="C67" s="12"/>
      <c r="D67" s="16"/>
      <c r="E67" s="12"/>
      <c r="F67" s="16"/>
      <c r="G67" s="17" t="str">
        <f aca="false">IF(AND(ISNUMBER(C67),ISNUMBER(B67)),C67/MAX(B67,$B$14),"")</f>
        <v/>
      </c>
      <c r="H67" s="18" t="b">
        <f aca="false">IF(ISNUMBER(F67),IF($B$71&gt;=$B$7,F67&gt;=4,F67&gt;=3),FALSE())</f>
        <v>0</v>
      </c>
      <c r="I67" s="18" t="b">
        <f aca="false">AND(ISNUMBER(F67),F67&lt;=2)</f>
        <v>0</v>
      </c>
      <c r="J67" s="17" t="str">
        <f aca="false">IF(OR($B$73="none",NOT(ISNUMBER(B67))),"",IF(AND(B67&gt;=$C$73,B67&lt;=$D$73),1,MAX(0,1-IF(B67&lt;$C$73,($C$73-B67)/MAX(ABS($C$73),0.5),(B67-$D$73)/MAX(ABS($D$73),0.5))/$B$12)))</f>
        <v/>
      </c>
      <c r="K67" s="17" t="str">
        <f aca="false">IF(OR($B$74="none",NOT(ISNUMBER(G67))),"",IF(AND(G67&gt;=$C$74,G67&lt;=$D$74),1,MAX(0,1-IF(G67&lt;$C$74,($C$74-G67)/MAX(ABS($C$74),0.5),(G67-$D$74)/MAX(ABS($D$74),0.5))/$B$12)))</f>
        <v/>
      </c>
      <c r="L67" s="17" t="str">
        <f aca="false">IF(OR($B$75="none",NOT(ISNUMBER(D67))),"",IF(IF($B$75="sessions",P67-$B$10,Q67)&lt;=0,1,MAX(0,1-IF($B$75="sessions",P67-$B$10,Q67)/$B$13)))</f>
        <v/>
      </c>
      <c r="M67" s="17" t="str">
        <f aca="false">IF(OR($B$76="none",NOT(ISNUMBER(E67))),"",IF(AND(E67&gt;=$C$76,E67&lt;=$D$76),1,MAX(0,1-IF(E67&lt;$C$76,($C$76-E67)/MAX(ABS($C$76),0.5),(E67-$D$76)/MAX(ABS($D$76),0.5))/$B$12)))</f>
        <v/>
      </c>
      <c r="N67" s="17" t="str">
        <f aca="false">IF(AND(ISNUMBER(F67),(IF(ISNUMBER(J67),$J$73,0)+IF(ISNUMBER(K67),$J$74,0)+IF(ISNUMBER(L67),$J$75,0)+IF(ISNUMBER(M67),$J$76,0))&gt;0),(IF(ISNUMBER(J67),$J$73*J67,0)+IF(ISNUMBER(K67),$J$74*K67,0)+IF(ISNUMBER(L67),$J$75*L67,0)+IF(ISNUMBER(M67),$J$76*M67,0))/(IF(ISNUMBER(J67),$J$73,0)+IF(ISNUMBER(K67),$J$74,0)+IF(ISNUMBER(L67),$J$75,0)+IF(ISNUMBER(M67),$J$76,0))*IF(AND(ISNUMBER(J67),J67=0),1-$J$73,1)*IF(AND(ISNUMBER(K67),K67=0),1-$J$74,1)*IF(AND(ISNUMBER(L67),L67=0),1-$J$75,1)*IF(AND(ISNUMBER(M67),M67=0),1-$J$76,1),"")</f>
        <v/>
      </c>
      <c r="O67" s="18" t="b">
        <f aca="false">AND(ISNUMBER(N67),N67&gt;=$B$19)</f>
        <v>0</v>
      </c>
      <c r="P67" s="19" t="str">
        <f aca="false">IF(ISNUMBER(D67),MIN(IF(AND($H$59,ISNUMBER($D$59)),ABS(MOD(D67-$D$59+540,360)-180),999),IF(AND($H$60,ISNUMBER($D$60)),ABS(MOD(D67-$D$60+540,360)-180),999),IF(AND($H$61,ISNUMBER($D$61)),ABS(MOD(D67-$D$61+540,360)-180),999),IF(AND($H$62,ISNUMBER($D$62)),ABS(MOD(D67-$D$62+540,360)-180),999),IF(AND($H$63,ISNUMBER($D$63)),ABS(MOD(D67-$D$63+540,360)-180),999),IF(AND($H$64,ISNUMBER($D$64)),ABS(MOD(D67-$D$64+540,360)-180),999),IF(AND($H$65,ISNUMBER($D$65)),ABS(MOD(D67-$D$65+540,360)-180),999),IF(AND($H$66,ISNUMBER($D$66)),ABS(MOD(D67-$D$66+540,360)-180),999),IF(AND($H$67,ISNUMBER($D$67)),ABS(MOD(D67-$D$67+540,360)-180),999),IF(AND($H$68,ISNUMBER($D$68)),ABS(MOD(D67-$D$68+540,360)-180),999)),"")</f>
        <v/>
      </c>
      <c r="Q67" s="19" t="str">
        <f aca="false">IF(ISNUMBER(D67),MIN(IF($C$39="Y",ABS(MOD(D67-$B$39+540,360)-180),999),IF($C$40="Y",ABS(MOD(D67-$B$40+540,360)-180),999),IF($C$41="Y",ABS(MOD(D67-$B$41+540,360)-180),999),IF($C$42="Y",ABS(MOD(D67-$B$42+540,360)-180),999),IF($C$43="Y",ABS(MOD(D67-$B$43+540,360)-180),999),IF($C$44="Y",ABS(MOD(D67-$B$44+540,360)-180),999),IF($C$45="Y",ABS(MOD(D67-$B$45+540,360)-180),999),IF($C$46="Y",ABS(MOD(D67-$B$46+540,360)-180),999))-$B$11,"")</f>
        <v/>
      </c>
      <c r="R67" s="20" t="str">
        <f aca="false">IF(AND(H67,ISNUMBER(B67)),B67,"")</f>
        <v/>
      </c>
      <c r="S67" s="17" t="str">
        <f aca="false">IF(AND(H67,ISNUMBER(G67)),G67,"")</f>
        <v/>
      </c>
      <c r="T67" s="20" t="str">
        <f aca="false">IF(AND(H67,ISNUMBER(E67)),E67,"")</f>
        <v/>
      </c>
    </row>
    <row r="68" customFormat="false" ht="15" hidden="false" customHeight="false" outlineLevel="0" collapsed="false">
      <c r="A68" s="21" t="s">
        <v>118</v>
      </c>
      <c r="B68" s="12"/>
      <c r="C68" s="12"/>
      <c r="D68" s="16"/>
      <c r="E68" s="12"/>
      <c r="F68" s="16"/>
      <c r="G68" s="17" t="str">
        <f aca="false">IF(AND(ISNUMBER(C68),ISNUMBER(B68)),C68/MAX(B68,$B$14),"")</f>
        <v/>
      </c>
      <c r="H68" s="18" t="b">
        <f aca="false">IF(ISNUMBER(F68),IF($B$71&gt;=$B$7,F68&gt;=4,F68&gt;=3),FALSE())</f>
        <v>0</v>
      </c>
      <c r="I68" s="18" t="b">
        <f aca="false">AND(ISNUMBER(F68),F68&lt;=2)</f>
        <v>0</v>
      </c>
      <c r="J68" s="17" t="str">
        <f aca="false">IF(OR($B$73="none",NOT(ISNUMBER(B68))),"",IF(AND(B68&gt;=$C$73,B68&lt;=$D$73),1,MAX(0,1-IF(B68&lt;$C$73,($C$73-B68)/MAX(ABS($C$73),0.5),(B68-$D$73)/MAX(ABS($D$73),0.5))/$B$12)))</f>
        <v/>
      </c>
      <c r="K68" s="17" t="str">
        <f aca="false">IF(OR($B$74="none",NOT(ISNUMBER(G68))),"",IF(AND(G68&gt;=$C$74,G68&lt;=$D$74),1,MAX(0,1-IF(G68&lt;$C$74,($C$74-G68)/MAX(ABS($C$74),0.5),(G68-$D$74)/MAX(ABS($D$74),0.5))/$B$12)))</f>
        <v/>
      </c>
      <c r="L68" s="17" t="str">
        <f aca="false">IF(OR($B$75="none",NOT(ISNUMBER(D68))),"",IF(IF($B$75="sessions",P68-$B$10,Q68)&lt;=0,1,MAX(0,1-IF($B$75="sessions",P68-$B$10,Q68)/$B$13)))</f>
        <v/>
      </c>
      <c r="M68" s="17" t="str">
        <f aca="false">IF(OR($B$76="none",NOT(ISNUMBER(E68))),"",IF(AND(E68&gt;=$C$76,E68&lt;=$D$76),1,MAX(0,1-IF(E68&lt;$C$76,($C$76-E68)/MAX(ABS($C$76),0.5),(E68-$D$76)/MAX(ABS($D$76),0.5))/$B$12)))</f>
        <v/>
      </c>
      <c r="N68" s="17" t="str">
        <f aca="false">IF(AND(ISNUMBER(F68),(IF(ISNUMBER(J68),$J$73,0)+IF(ISNUMBER(K68),$J$74,0)+IF(ISNUMBER(L68),$J$75,0)+IF(ISNUMBER(M68),$J$76,0))&gt;0),(IF(ISNUMBER(J68),$J$73*J68,0)+IF(ISNUMBER(K68),$J$74*K68,0)+IF(ISNUMBER(L68),$J$75*L68,0)+IF(ISNUMBER(M68),$J$76*M68,0))/(IF(ISNUMBER(J68),$J$73,0)+IF(ISNUMBER(K68),$J$74,0)+IF(ISNUMBER(L68),$J$75,0)+IF(ISNUMBER(M68),$J$76,0))*IF(AND(ISNUMBER(J68),J68=0),1-$J$73,1)*IF(AND(ISNUMBER(K68),K68=0),1-$J$74,1)*IF(AND(ISNUMBER(L68),L68=0),1-$J$75,1)*IF(AND(ISNUMBER(M68),M68=0),1-$J$76,1),"")</f>
        <v/>
      </c>
      <c r="O68" s="18" t="b">
        <f aca="false">AND(ISNUMBER(N68),N68&gt;=$B$19)</f>
        <v>0</v>
      </c>
      <c r="P68" s="19" t="str">
        <f aca="false">IF(ISNUMBER(D68),MIN(IF(AND($H$59,ISNUMBER($D$59)),ABS(MOD(D68-$D$59+540,360)-180),999),IF(AND($H$60,ISNUMBER($D$60)),ABS(MOD(D68-$D$60+540,360)-180),999),IF(AND($H$61,ISNUMBER($D$61)),ABS(MOD(D68-$D$61+540,360)-180),999),IF(AND($H$62,ISNUMBER($D$62)),ABS(MOD(D68-$D$62+540,360)-180),999),IF(AND($H$63,ISNUMBER($D$63)),ABS(MOD(D68-$D$63+540,360)-180),999),IF(AND($H$64,ISNUMBER($D$64)),ABS(MOD(D68-$D$64+540,360)-180),999),IF(AND($H$65,ISNUMBER($D$65)),ABS(MOD(D68-$D$65+540,360)-180),999),IF(AND($H$66,ISNUMBER($D$66)),ABS(MOD(D68-$D$66+540,360)-180),999),IF(AND($H$67,ISNUMBER($D$67)),ABS(MOD(D68-$D$67+540,360)-180),999),IF(AND($H$68,ISNUMBER($D$68)),ABS(MOD(D68-$D$68+540,360)-180),999)),"")</f>
        <v/>
      </c>
      <c r="Q68" s="19" t="str">
        <f aca="false">IF(ISNUMBER(D68),MIN(IF($C$39="Y",ABS(MOD(D68-$B$39+540,360)-180),999),IF($C$40="Y",ABS(MOD(D68-$B$40+540,360)-180),999),IF($C$41="Y",ABS(MOD(D68-$B$41+540,360)-180),999),IF($C$42="Y",ABS(MOD(D68-$B$42+540,360)-180),999),IF($C$43="Y",ABS(MOD(D68-$B$43+540,360)-180),999),IF($C$44="Y",ABS(MOD(D68-$B$44+540,360)-180),999),IF($C$45="Y",ABS(MOD(D68-$B$45+540,360)-180),999),IF($C$46="Y",ABS(MOD(D68-$B$46+540,360)-180),999))-$B$11,"")</f>
        <v/>
      </c>
      <c r="R68" s="20" t="str">
        <f aca="false">IF(AND(H68,ISNUMBER(B68)),B68,"")</f>
        <v/>
      </c>
      <c r="S68" s="17" t="str">
        <f aca="false">IF(AND(H68,ISNUMBER(G68)),G68,"")</f>
        <v/>
      </c>
      <c r="T68" s="20" t="str">
        <f aca="false">IF(AND(H68,ISNUMBER(E68)),E68,"")</f>
        <v/>
      </c>
    </row>
    <row r="69" customFormat="false" ht="15" hidden="false" customHeight="false" outlineLevel="0" collapsed="false">
      <c r="A69" s="3" t="s">
        <v>119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30" hidden="false" customHeight="true" outlineLevel="0" collapsed="false">
      <c r="A70" s="2" t="s">
        <v>120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" hidden="false" customHeight="false" outlineLevel="0" collapsed="false">
      <c r="A71" s="22" t="s">
        <v>121</v>
      </c>
      <c r="B71" s="23" t="n">
        <f aca="false">COUNTIF($F$59:$F$68,"&gt;=4")</f>
        <v>3</v>
      </c>
    </row>
    <row r="72" customFormat="false" ht="23.85" hidden="false" customHeight="false" outlineLevel="0" collapsed="false">
      <c r="A72" s="5" t="s">
        <v>122</v>
      </c>
      <c r="B72" s="5" t="s">
        <v>123</v>
      </c>
      <c r="C72" s="5" t="s">
        <v>124</v>
      </c>
      <c r="D72" s="5" t="s">
        <v>125</v>
      </c>
      <c r="E72" s="5" t="s">
        <v>126</v>
      </c>
      <c r="F72" s="5" t="s">
        <v>127</v>
      </c>
      <c r="G72" s="5" t="s">
        <v>128</v>
      </c>
      <c r="H72" s="5" t="s">
        <v>129</v>
      </c>
      <c r="I72" s="5" t="s">
        <v>130</v>
      </c>
      <c r="J72" s="5" t="s">
        <v>131</v>
      </c>
      <c r="K72" s="5" t="s">
        <v>132</v>
      </c>
    </row>
    <row r="73" customFormat="false" ht="15" hidden="false" customHeight="false" outlineLevel="0" collapsed="false">
      <c r="A73" s="24" t="s">
        <v>133</v>
      </c>
      <c r="B73" s="6" t="str">
        <f aca="false">IF(E73&gt;=$B$7,"sessions","window")</f>
        <v>sessions</v>
      </c>
      <c r="C73" s="14" t="n">
        <f aca="false">IF(B73="sessions",IF(E73&gt;=$B$8,SMALL($R$59:$R$68,ROUND(0.1*(E73-1),0)+1),MIN($R$59:$R$68))*(1-$B$9),$B$35)</f>
        <v>8.1</v>
      </c>
      <c r="D73" s="14" t="n">
        <f aca="false">IF(B73="sessions",IF(E73&gt;=$B$8,SMALL($R$59:$R$68,ROUND(0.9*(E73-1),0)+1),MAX($R$59:$R$68))*(1+$B$9),$B$36)</f>
        <v>12.1</v>
      </c>
      <c r="E73" s="25" t="n">
        <f aca="false">COUNT($R$59:$R$68)</f>
        <v>3</v>
      </c>
      <c r="F73" s="26" t="n">
        <f aca="false">IF(SUMPRODUCT(($H$59:$H$68=TRUE())*ISNUMBER($J$59:$J$68))=0,1,SUMPRODUCT(($H$59:$H$68=TRUE())*ISNUMBER($J$59:$J$68)*($J$59:$J$68&gt;=0.99))/SUMPRODUCT(($H$59:$H$68=TRUE())*ISNUMBER($J$59:$J$68)))</f>
        <v>1</v>
      </c>
      <c r="G73" s="25" t="n">
        <f aca="false">SUMPRODUCT(($I$59:$I$68=TRUE())*ISNUMBER($J$59:$J$68))</f>
        <v>3</v>
      </c>
      <c r="H73" s="26" t="n">
        <f aca="false">IF(G73=0,0,SUMPRODUCT(($I$59:$I$68=TRUE())*ISNUMBER($J$59:$J$68)*($J$59:$J$68&lt;0.99))/G73)</f>
        <v>0.666666666666667</v>
      </c>
      <c r="I73" s="14" t="n">
        <f aca="false">MAX(0,F73+H73-1)</f>
        <v>0.666666666666667</v>
      </c>
      <c r="J73" s="27" t="n">
        <f aca="false">IF(B73="none","",MAX(0.05,($B$16*$B$15+G73*I73)/($B$16+G73)))</f>
        <v>0.6</v>
      </c>
      <c r="K73" s="6" t="str">
        <f aca="false">IF(B73="none","not learned yet",IF(J73&gt;=0.65,"matters a lot",IF(J73&gt;=0.35,"matters","matters little")))</f>
        <v>matters</v>
      </c>
    </row>
    <row r="74" customFormat="false" ht="15" hidden="false" customHeight="false" outlineLevel="0" collapsed="false">
      <c r="A74" s="24" t="s">
        <v>134</v>
      </c>
      <c r="B74" s="6" t="str">
        <f aca="false">IF(E74&gt;=$B$7,"sessions","none")</f>
        <v>sessions</v>
      </c>
      <c r="C74" s="14" t="n">
        <f aca="false">IF(B74="sessions",IF(E74&gt;=$B$8,SMALL($S$59:$S$68,ROUND(0.1*(E74-1),0)+1),MIN($S$59:$S$68))*(1-$B$9),"")</f>
        <v>1.1</v>
      </c>
      <c r="D74" s="14" t="n">
        <f aca="false">IF(B74="sessions",IF(E74&gt;=$B$8,SMALL($S$59:$S$68,ROUND(0.9*(E74-1),0)+1),MAX($S$59:$S$68))*(1+$B$9),"")</f>
        <v>1.43</v>
      </c>
      <c r="E74" s="25" t="n">
        <f aca="false">COUNT($S$59:$S$68)</f>
        <v>3</v>
      </c>
      <c r="F74" s="26" t="n">
        <f aca="false">IF(SUMPRODUCT(($H$59:$H$68=TRUE())*ISNUMBER($K$59:$K$68))=0,1,SUMPRODUCT(($H$59:$H$68=TRUE())*ISNUMBER($K$59:$K$68)*($K$59:$K$68&gt;=0.99))/SUMPRODUCT(($H$59:$H$68=TRUE())*ISNUMBER($K$59:$K$68)))</f>
        <v>1</v>
      </c>
      <c r="G74" s="25" t="n">
        <f aca="false">SUMPRODUCT(($I$59:$I$68=TRUE())*ISNUMBER($K$59:$K$68))</f>
        <v>3</v>
      </c>
      <c r="H74" s="26" t="n">
        <f aca="false">IF(G74=0,0,SUMPRODUCT(($I$59:$I$68=TRUE())*ISNUMBER($K$59:$K$68)*($K$59:$K$68&lt;0.99))/G74)</f>
        <v>0.333333333333333</v>
      </c>
      <c r="I74" s="14" t="n">
        <f aca="false">MAX(0,F74+H74-1)</f>
        <v>0.333333333333333</v>
      </c>
      <c r="J74" s="27" t="n">
        <f aca="false">IF(B74="none","",MAX(0.05,($B$16*$B$15+G74*I74)/($B$16+G74)))</f>
        <v>0.4</v>
      </c>
      <c r="K74" s="6" t="str">
        <f aca="false">IF(B74="none","not learned yet",IF(J74&gt;=0.65,"matters a lot",IF(J74&gt;=0.35,"matters","matters little")))</f>
        <v>matters</v>
      </c>
    </row>
    <row r="75" customFormat="false" ht="15" hidden="false" customHeight="false" outlineLevel="0" collapsed="false">
      <c r="A75" s="24" t="s">
        <v>135</v>
      </c>
      <c r="B75" s="6" t="str">
        <f aca="false">IF(E75&gt;=$B$7,"sessions",IF(COUNTIF($C$39:$C$46,"Y")&gt;0,"window","none"))</f>
        <v>sessions</v>
      </c>
      <c r="C75" s="6" t="str">
        <f aca="false">IF(B75="sessions","± "&amp;$B$10&amp;"° around each great session",IF(B75="window","ticked directions ± "&amp;$B$11&amp;"°",""))</f>
        <v>± 20° around each great session</v>
      </c>
      <c r="D75" s="6"/>
      <c r="E75" s="25" t="n">
        <f aca="false">SUMPRODUCT(($H$59:$H$68=TRUE())*ISNUMBER($D$59:$D$68))</f>
        <v>3</v>
      </c>
      <c r="F75" s="26" t="n">
        <f aca="false">IF(SUMPRODUCT(($H$59:$H$68=TRUE())*ISNUMBER($L$59:$L$68))=0,1,SUMPRODUCT(($H$59:$H$68=TRUE())*ISNUMBER($L$59:$L$68)*($L$59:$L$68&gt;=0.99))/SUMPRODUCT(($H$59:$H$68=TRUE())*ISNUMBER($L$59:$L$68)))</f>
        <v>1</v>
      </c>
      <c r="G75" s="25" t="n">
        <f aca="false">SUMPRODUCT(($I$59:$I$68=TRUE())*ISNUMBER($L$59:$L$68))</f>
        <v>3</v>
      </c>
      <c r="H75" s="26" t="n">
        <f aca="false">IF(G75=0,0,SUMPRODUCT(($I$59:$I$68=TRUE())*ISNUMBER($L$59:$L$68)*($L$59:$L$68&lt;0.99))/G75)</f>
        <v>0.333333333333333</v>
      </c>
      <c r="I75" s="14" t="n">
        <f aca="false">MAX(0,F75+H75-1)</f>
        <v>0.333333333333333</v>
      </c>
      <c r="J75" s="27" t="n">
        <f aca="false">IF(B75="none","",MAX(0.05,($B$16*$B$15+G75*I75)/($B$16+G75)))</f>
        <v>0.4</v>
      </c>
      <c r="K75" s="6" t="str">
        <f aca="false">IF(B75="none","not learned yet",IF(J75&gt;=0.65,"matters a lot",IF(J75&gt;=0.35,"matters","matters little")))</f>
        <v>matters</v>
      </c>
    </row>
    <row r="76" customFormat="false" ht="15" hidden="false" customHeight="false" outlineLevel="0" collapsed="false">
      <c r="A76" s="24" t="s">
        <v>136</v>
      </c>
      <c r="B76" s="6" t="str">
        <f aca="false">IF(E76&gt;=$B$7,"sessions","none")</f>
        <v>sessions</v>
      </c>
      <c r="C76" s="14" t="n">
        <f aca="false">IF(B76="sessions",IF(E76&gt;=$B$8,SMALL($T$59:$T$68,ROUND(0.1*(E76-1),0)+1),MIN($T$59:$T$68))*(1-$B$9),"")</f>
        <v>0.54</v>
      </c>
      <c r="D76" s="14" t="n">
        <f aca="false">IF(B76="sessions",IF(E76&gt;=$B$8,SMALL($T$59:$T$68,ROUND(0.9*(E76-1),0)+1),MAX($T$59:$T$68))*(1+$B$9),"")</f>
        <v>0.88</v>
      </c>
      <c r="E76" s="25" t="n">
        <f aca="false">COUNT($T$59:$T$68)</f>
        <v>3</v>
      </c>
      <c r="F76" s="26" t="n">
        <f aca="false">IF(SUMPRODUCT(($H$59:$H$68=TRUE())*ISNUMBER($M$59:$M$68))=0,1,SUMPRODUCT(($H$59:$H$68=TRUE())*ISNUMBER($M$59:$M$68)*($M$59:$M$68&gt;=0.99))/SUMPRODUCT(($H$59:$H$68=TRUE())*ISNUMBER($M$59:$M$68)))</f>
        <v>1</v>
      </c>
      <c r="G76" s="25" t="n">
        <f aca="false">SUMPRODUCT(($I$59:$I$68=TRUE())*ISNUMBER($M$59:$M$68))</f>
        <v>3</v>
      </c>
      <c r="H76" s="26" t="n">
        <f aca="false">IF(G76=0,0,SUMPRODUCT(($I$59:$I$68=TRUE())*ISNUMBER($M$59:$M$68)*($M$59:$M$68&lt;0.99))/G76)</f>
        <v>1</v>
      </c>
      <c r="I76" s="14" t="n">
        <f aca="false">MAX(0,F76+H76-1)</f>
        <v>1</v>
      </c>
      <c r="J76" s="27" t="n">
        <f aca="false">IF(B76="none","",MAX(0.05,($B$16*$B$15+G76*I76)/($B$16+G76)))</f>
        <v>0.8</v>
      </c>
      <c r="K76" s="6" t="str">
        <f aca="false">IF(B76="none","not learned yet",IF(J76&gt;=0.65,"matters a lot",IF(J76&gt;=0.35,"matters","matters little")))</f>
        <v>matters a lot</v>
      </c>
    </row>
    <row r="78" customFormat="false" ht="15" hidden="false" customHeight="false" outlineLevel="0" collapsed="false">
      <c r="A78" s="22" t="s">
        <v>137</v>
      </c>
      <c r="B78" s="23" t="n">
        <f aca="false">COUNTIF($O$59:$O$68,TRUE())</f>
        <v>3</v>
      </c>
    </row>
    <row r="79" customFormat="false" ht="15" hidden="false" customHeight="false" outlineLevel="0" collapsed="false">
      <c r="A79" s="22" t="s">
        <v>138</v>
      </c>
      <c r="B79" s="27" t="n">
        <f aca="false">(SUMIF($O$59:$O$68,TRUE(),$F$59:$F$68)+$B$17*$B$18)/(B78+$B$18)</f>
        <v>4.16</v>
      </c>
      <c r="D79" s="28" t="s">
        <v>139</v>
      </c>
      <c r="E79" s="28"/>
      <c r="F79" s="28"/>
      <c r="G79" s="28"/>
      <c r="H79" s="28"/>
      <c r="I79" s="28"/>
      <c r="J79" s="28"/>
      <c r="K79" s="28"/>
      <c r="L79" s="28"/>
      <c r="M79" s="28"/>
    </row>
    <row r="81" customFormat="false" ht="15" hidden="false" customHeight="false" outlineLevel="0" collapsed="false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30" hidden="false" customHeight="true" outlineLevel="0" collapsed="false">
      <c r="A82" s="2" t="s">
        <v>141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23.85" hidden="false" customHeight="false" outlineLevel="0" collapsed="false">
      <c r="A83" s="5" t="s">
        <v>122</v>
      </c>
      <c r="B83" s="5" t="s">
        <v>142</v>
      </c>
      <c r="C83" s="5" t="s">
        <v>143</v>
      </c>
      <c r="D83" s="5" t="s">
        <v>131</v>
      </c>
      <c r="E83" s="5" t="s">
        <v>144</v>
      </c>
    </row>
    <row r="84" customFormat="false" ht="15" hidden="false" customHeight="false" outlineLevel="0" collapsed="false">
      <c r="A84" s="6" t="s">
        <v>80</v>
      </c>
      <c r="B84" s="29" t="n">
        <f aca="false">$B$50</f>
        <v>10</v>
      </c>
      <c r="C84" s="14" t="n">
        <f aca="false">IF(OR($B$73="none",NOT(ISNUMBER($B$50))),"",IF(AND($B$50&gt;=$C$73,$B$50&lt;=$D$73),1,MAX(0,1-IF($B$50&lt;$C$73,($C$73-$B$50)/MAX(ABS($C$73),0.5),($B$50-$D$73)/MAX(ABS($D$73),0.5))/$B$12)))</f>
        <v>1</v>
      </c>
      <c r="D84" s="14" t="n">
        <f aca="false">$J$73</f>
        <v>0.6</v>
      </c>
      <c r="E84" s="6" t="str">
        <f aca="false">IF(NOT(ISNUMBER(C84)),"–",IF(C84&gt;=0.99,"✓",IF(C84&gt;0,"~ close","✕ off")))</f>
        <v>✓</v>
      </c>
    </row>
    <row r="85" customFormat="false" ht="15" hidden="false" customHeight="false" outlineLevel="0" collapsed="false">
      <c r="A85" s="6" t="s">
        <v>145</v>
      </c>
      <c r="B85" s="29" t="n">
        <f aca="false">$B$54</f>
        <v>1.3</v>
      </c>
      <c r="C85" s="14" t="n">
        <f aca="false">IF(OR($B$74="none",NOT(ISNUMBER($B$54))),"",IF(AND($B$54&gt;=$C$74,$B$54&lt;=$D$74),1,MAX(0,1-IF($B$54&lt;$C$74,($C$74-$B$54)/MAX(ABS($C$74),0.5),($B$54-$D$74)/MAX(ABS($D$74),0.5))/$B$12)))</f>
        <v>1</v>
      </c>
      <c r="D85" s="14" t="n">
        <f aca="false">$J$74</f>
        <v>0.4</v>
      </c>
      <c r="E85" s="6" t="str">
        <f aca="false">IF(NOT(ISNUMBER(C85)),"–",IF(C85&gt;=0.99,"✓",IF(C85&gt;0,"~ close","✕ off")))</f>
        <v>✓</v>
      </c>
    </row>
    <row r="86" customFormat="false" ht="15" hidden="false" customHeight="false" outlineLevel="0" collapsed="false">
      <c r="A86" s="6" t="s">
        <v>82</v>
      </c>
      <c r="B86" s="29" t="n">
        <f aca="false">$B$52</f>
        <v>262</v>
      </c>
      <c r="C86" s="14" t="n">
        <f aca="false">IF(OR($B$75="none",NOT(ISNUMBER($B$52))),"",IF(IF($B$75="sessions",MIN(IF(AND($H$59,ISNUMBER($D$59)),ABS(MOD($B$52-$D$59+540,360)-180),999),IF(AND($H$60,ISNUMBER($D$60)),ABS(MOD($B$52-$D$60+540,360)-180),999),IF(AND($H$61,ISNUMBER($D$61)),ABS(MOD($B$52-$D$61+540,360)-180),999),IF(AND($H$62,ISNUMBER($D$62)),ABS(MOD($B$52-$D$62+540,360)-180),999),IF(AND($H$63,ISNUMBER($D$63)),ABS(MOD($B$52-$D$63+540,360)-180),999),IF(AND($H$64,ISNUMBER($D$64)),ABS(MOD($B$52-$D$64+540,360)-180),999),IF(AND($H$65,ISNUMBER($D$65)),ABS(MOD($B$52-$D$65+540,360)-180),999),IF(AND($H$66,ISNUMBER($D$66)),ABS(MOD($B$52-$D$66+540,360)-180),999),IF(AND($H$67,ISNUMBER($D$67)),ABS(MOD($B$52-$D$67+540,360)-180),999),IF(AND($H$68,ISNUMBER($D$68)),ABS(MOD($B$52-$D$68+540,360)-180),999))-$B$10,MIN(IF($C$39="Y",ABS(MOD($B$52-$B$39+540,360)-180),999),IF($C$40="Y",ABS(MOD($B$52-$B$40+540,360)-180),999),IF($C$41="Y",ABS(MOD($B$52-$B$41+540,360)-180),999),IF($C$42="Y",ABS(MOD($B$52-$B$42+540,360)-180),999),IF($C$43="Y",ABS(MOD($B$52-$B$43+540,360)-180),999),IF($C$44="Y",ABS(MOD($B$52-$B$44+540,360)-180),999),IF($C$45="Y",ABS(MOD($B$52-$B$45+540,360)-180),999),IF($C$46="Y",ABS(MOD($B$52-$B$46+540,360)-180),999))-$B$11)&lt;=0,1,MAX(0,1-IF($B$75="sessions",MIN(IF(AND($H$59,ISNUMBER($D$59)),ABS(MOD($B$52-$D$59+540,360)-180),999),IF(AND($H$60,ISNUMBER($D$60)),ABS(MOD($B$52-$D$60+540,360)-180),999),IF(AND($H$61,ISNUMBER($D$61)),ABS(MOD($B$52-$D$61+540,360)-180),999),IF(AND($H$62,ISNUMBER($D$62)),ABS(MOD($B$52-$D$62+540,360)-180),999),IF(AND($H$63,ISNUMBER($D$63)),ABS(MOD($B$52-$D$63+540,360)-180),999),IF(AND($H$64,ISNUMBER($D$64)),ABS(MOD($B$52-$D$64+540,360)-180),999),IF(AND($H$65,ISNUMBER($D$65)),ABS(MOD($B$52-$D$65+540,360)-180),999),IF(AND($H$66,ISNUMBER($D$66)),ABS(MOD($B$52-$D$66+540,360)-180),999),IF(AND($H$67,ISNUMBER($D$67)),ABS(MOD($B$52-$D$67+540,360)-180),999),IF(AND($H$68,ISNUMBER($D$68)),ABS(MOD($B$52-$D$68+540,360)-180),999))-$B$10,MIN(IF($C$39="Y",ABS(MOD($B$52-$B$39+540,360)-180),999),IF($C$40="Y",ABS(MOD($B$52-$B$40+540,360)-180),999),IF($C$41="Y",ABS(MOD($B$52-$B$41+540,360)-180),999),IF($C$42="Y",ABS(MOD($B$52-$B$42+540,360)-180),999),IF($C$43="Y",ABS(MOD($B$52-$B$43+540,360)-180),999),IF($C$44="Y",ABS(MOD($B$52-$B$44+540,360)-180),999),IF($C$45="Y",ABS(MOD($B$52-$B$45+540,360)-180),999),IF($C$46="Y",ABS(MOD($B$52-$B$46+540,360)-180),999))-$B$11)/$B$13)))</f>
        <v>1</v>
      </c>
      <c r="D86" s="14" t="n">
        <f aca="false">$J$75</f>
        <v>0.4</v>
      </c>
      <c r="E86" s="6" t="str">
        <f aca="false">IF(NOT(ISNUMBER(C86)),"–",IF(C86&gt;=0.99,"✓",IF(C86&gt;0,"~ close","✕ off")))</f>
        <v>✓</v>
      </c>
    </row>
    <row r="87" customFormat="false" ht="15" hidden="false" customHeight="false" outlineLevel="0" collapsed="false">
      <c r="A87" s="6" t="s">
        <v>83</v>
      </c>
      <c r="B87" s="29" t="n">
        <f aca="false">$B$53</f>
        <v>0.7</v>
      </c>
      <c r="C87" s="14" t="n">
        <f aca="false">IF(OR($B$76="none",NOT(ISNUMBER($B$53))),"",IF(AND($B$53&gt;=$C$76,$B$53&lt;=$D$76),1,MAX(0,1-IF($B$53&lt;$C$76,($C$76-$B$53)/MAX(ABS($C$76),0.5),($B$53-$D$76)/MAX(ABS($D$76),0.5))/$B$12)))</f>
        <v>1</v>
      </c>
      <c r="D87" s="14" t="n">
        <f aca="false">$J$76</f>
        <v>0.8</v>
      </c>
      <c r="E87" s="6" t="str">
        <f aca="false">IF(NOT(ISNUMBER(C87)),"–",IF(C87&gt;=0.99,"✓",IF(C87&gt;0,"~ close","✕ off")))</f>
        <v>✓</v>
      </c>
    </row>
    <row r="89" customFormat="false" ht="15" hidden="false" customHeight="false" outlineLevel="0" collapsed="false">
      <c r="A89" s="24" t="s">
        <v>146</v>
      </c>
      <c r="B89" s="27" t="n">
        <f aca="false">IF(SUMPRODUCT(ISNUMBER(C84:C87)*(D84:D87&lt;&gt;""),D84:D87)=0,"",SUMPRODUCT(ISNUMBER(C84:C87)*(D84:D87&lt;&gt;""),D84:D87,C84:C87)/SUMPRODUCT(ISNUMBER(C84:C87)*(D84:D87&lt;&gt;""),D84:D87))</f>
        <v>1</v>
      </c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/>
    </row>
    <row r="90" customFormat="false" ht="15" hidden="false" customHeight="false" outlineLevel="0" collapsed="false">
      <c r="A90" s="24" t="s">
        <v>147</v>
      </c>
      <c r="B90" s="27" t="n">
        <f aca="false">IF(AND(ISNUMBER(C84),C84=0),1-D84,1)*IF(AND(ISNUMBER(C85),C85=0),1-D85,1)*IF(AND(ISNUMBER(C86),C86=0),1-D86,1)*IF(AND(ISNUMBER(C87),C87=0),1-D87,1)</f>
        <v>1</v>
      </c>
      <c r="C90" s="27"/>
      <c r="D90" s="28" t="s">
        <v>148</v>
      </c>
      <c r="E90" s="28"/>
      <c r="F90" s="28"/>
      <c r="G90" s="28"/>
      <c r="H90" s="28"/>
      <c r="I90" s="28"/>
      <c r="J90" s="28"/>
      <c r="K90" s="28"/>
      <c r="L90" s="28"/>
      <c r="M90" s="28"/>
    </row>
    <row r="91" customFormat="false" ht="15" hidden="false" customHeight="false" outlineLevel="0" collapsed="false">
      <c r="A91" s="24" t="s">
        <v>102</v>
      </c>
      <c r="B91" s="27" t="n">
        <f aca="false">IF(ISNUMBER(B89),B89*B90,"")</f>
        <v>1</v>
      </c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customFormat="false" ht="15" hidden="false" customHeight="false" outlineLevel="0" collapsed="false">
      <c r="A92" s="24" t="s">
        <v>149</v>
      </c>
      <c r="B92" s="27" t="n">
        <f aca="false">IF(ISNUMBER(B91),1+($B$79-1)*B91,"–")</f>
        <v>4.16</v>
      </c>
      <c r="C92" s="27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 customFormat="false" ht="15" hidden="false" customHeight="false" outlineLevel="0" collapsed="false">
      <c r="A93" s="24" t="s">
        <v>150</v>
      </c>
      <c r="B93" s="30" t="str">
        <f aca="false">IF(ISNUMBER(B92),IF(B92&gt;=$B$22,"Likely epic",IF(B92&gt;=$B$21,"Likely great",IF(B92&gt;=$B$20,"Likely good","Not sure yet"))),"Not sure yet")</f>
        <v>Likely great</v>
      </c>
      <c r="C93" s="30"/>
      <c r="D93" s="28" t="s">
        <v>151</v>
      </c>
      <c r="E93" s="28"/>
      <c r="F93" s="28"/>
      <c r="G93" s="28"/>
      <c r="H93" s="28"/>
      <c r="I93" s="28"/>
      <c r="J93" s="28"/>
      <c r="K93" s="28"/>
      <c r="L93" s="28"/>
      <c r="M93" s="28"/>
    </row>
    <row r="94" customFormat="false" ht="15" hidden="false" customHeight="false" outlineLevel="0" collapsed="false">
      <c r="A94" s="24" t="s">
        <v>152</v>
      </c>
      <c r="B94" s="30" t="str">
        <f aca="false">IF(COUNT($F$59:$F$68)&gt;0,"from "&amp;COUNT($F$59:$F$68)&amp;" sessions here","from your wind window")</f>
        <v>from 6 sessions here</v>
      </c>
      <c r="C94" s="30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6" customFormat="false" ht="15" hidden="false" customHeight="false" outlineLevel="0" collapsed="false">
      <c r="A96" s="3" t="s">
        <v>153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Format="false" ht="30" hidden="false" customHeight="true" outlineLevel="0" collapsed="false">
      <c r="A97" s="2" t="s">
        <v>154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customFormat="false" ht="30" hidden="false" customHeight="true" outlineLevel="0" collapsed="false">
      <c r="A98" s="5" t="s">
        <v>89</v>
      </c>
      <c r="B98" s="5" t="s">
        <v>155</v>
      </c>
      <c r="C98" s="5" t="s">
        <v>156</v>
      </c>
      <c r="D98" s="5" t="s">
        <v>157</v>
      </c>
      <c r="E98" s="5" t="s">
        <v>158</v>
      </c>
      <c r="F98" s="5" t="s">
        <v>159</v>
      </c>
      <c r="G98" s="5" t="s">
        <v>160</v>
      </c>
      <c r="H98" s="5" t="s">
        <v>161</v>
      </c>
      <c r="I98" s="5" t="s">
        <v>162</v>
      </c>
      <c r="J98" s="5" t="s">
        <v>163</v>
      </c>
      <c r="K98" s="5" t="s">
        <v>164</v>
      </c>
      <c r="L98" s="5" t="s">
        <v>165</v>
      </c>
    </row>
    <row r="99" customFormat="false" ht="15" hidden="false" customHeight="false" outlineLevel="0" collapsed="false">
      <c r="A99" s="13" t="s">
        <v>109</v>
      </c>
      <c r="B99" s="12" t="n">
        <v>7.5</v>
      </c>
      <c r="C99" s="12" t="n">
        <v>8.5</v>
      </c>
      <c r="D99" s="12" t="n">
        <v>6.9</v>
      </c>
      <c r="E99" s="12" t="n">
        <v>9.4</v>
      </c>
      <c r="F99" s="12" t="n">
        <v>8</v>
      </c>
      <c r="G99" s="12" t="n">
        <v>7.8</v>
      </c>
      <c r="H99" s="10" t="n">
        <f aca="false">IF(AND(ISNUMBER(B99),ISNUMBER(C99)),ABS(C99-B99),"")</f>
        <v>1</v>
      </c>
      <c r="I99" s="10" t="n">
        <f aca="false">IF(AND(ISNUMBER(B99),ISNUMBER(D99)),ABS(D99-B99),"")</f>
        <v>0.6</v>
      </c>
      <c r="J99" s="10" t="n">
        <f aca="false">IF(AND(ISNUMBER(B99),ISNUMBER(E99)),ABS(E99-B99),"")</f>
        <v>1.9</v>
      </c>
      <c r="K99" s="10" t="n">
        <f aca="false">IF(AND(ISNUMBER(B99),ISNUMBER(F99)),ABS(F99-B99),"")</f>
        <v>0.5</v>
      </c>
      <c r="L99" s="10" t="n">
        <f aca="false">IF(AND(ISNUMBER(B99),ISNUMBER(G99)),ABS(G99-B99),"")</f>
        <v>0.3</v>
      </c>
    </row>
    <row r="100" customFormat="false" ht="15" hidden="false" customHeight="false" outlineLevel="0" collapsed="false">
      <c r="A100" s="13" t="s">
        <v>110</v>
      </c>
      <c r="B100" s="12" t="n">
        <v>9</v>
      </c>
      <c r="C100" s="12" t="n">
        <v>10</v>
      </c>
      <c r="D100" s="12" t="n">
        <v>8.2</v>
      </c>
      <c r="E100" s="12" t="n">
        <v>11</v>
      </c>
      <c r="F100" s="12" t="n">
        <v>9.6</v>
      </c>
      <c r="G100" s="12"/>
      <c r="H100" s="10" t="n">
        <f aca="false">IF(AND(ISNUMBER(B100),ISNUMBER(C100)),ABS(C100-B100),"")</f>
        <v>1</v>
      </c>
      <c r="I100" s="10" t="n">
        <f aca="false">IF(AND(ISNUMBER(B100),ISNUMBER(D100)),ABS(D100-B100),"")</f>
        <v>0.800000000000001</v>
      </c>
      <c r="J100" s="10" t="n">
        <f aca="false">IF(AND(ISNUMBER(B100),ISNUMBER(E100)),ABS(E100-B100),"")</f>
        <v>2</v>
      </c>
      <c r="K100" s="10" t="n">
        <f aca="false">IF(AND(ISNUMBER(B100),ISNUMBER(F100)),ABS(F100-B100),"")</f>
        <v>0.6</v>
      </c>
      <c r="L100" s="10" t="str">
        <f aca="false">IF(AND(ISNUMBER(B100),ISNUMBER(G100)),ABS(G100-B100),"")</f>
        <v/>
      </c>
    </row>
    <row r="101" customFormat="false" ht="15" hidden="false" customHeight="false" outlineLevel="0" collapsed="false">
      <c r="A101" s="13" t="s">
        <v>111</v>
      </c>
      <c r="B101" s="12" t="n">
        <v>5</v>
      </c>
      <c r="C101" s="12" t="n">
        <v>6</v>
      </c>
      <c r="D101" s="12" t="n">
        <v>4.4</v>
      </c>
      <c r="E101" s="12" t="n">
        <v>7.1</v>
      </c>
      <c r="F101" s="12" t="n">
        <v>5.8</v>
      </c>
      <c r="G101" s="12" t="n">
        <v>5.4</v>
      </c>
      <c r="H101" s="10" t="n">
        <f aca="false">IF(AND(ISNUMBER(B101),ISNUMBER(C101)),ABS(C101-B101),"")</f>
        <v>1</v>
      </c>
      <c r="I101" s="10" t="n">
        <f aca="false">IF(AND(ISNUMBER(B101),ISNUMBER(D101)),ABS(D101-B101),"")</f>
        <v>0.6</v>
      </c>
      <c r="J101" s="10" t="n">
        <f aca="false">IF(AND(ISNUMBER(B101),ISNUMBER(E101)),ABS(E101-B101),"")</f>
        <v>2.1</v>
      </c>
      <c r="K101" s="10" t="n">
        <f aca="false">IF(AND(ISNUMBER(B101),ISNUMBER(F101)),ABS(F101-B101),"")</f>
        <v>0.8</v>
      </c>
      <c r="L101" s="10" t="n">
        <f aca="false">IF(AND(ISNUMBER(B101),ISNUMBER(G101)),ABS(G101-B101),"")</f>
        <v>0.4</v>
      </c>
    </row>
    <row r="102" customFormat="false" ht="15" hidden="false" customHeight="false" outlineLevel="0" collapsed="false">
      <c r="A102" s="13" t="s">
        <v>112</v>
      </c>
      <c r="B102" s="12" t="n">
        <v>12</v>
      </c>
      <c r="C102" s="12" t="n">
        <v>14</v>
      </c>
      <c r="D102" s="12" t="n">
        <v>11.5</v>
      </c>
      <c r="E102" s="12" t="n">
        <v>15.2</v>
      </c>
      <c r="F102" s="12" t="n">
        <v>13.1</v>
      </c>
      <c r="G102" s="12" t="n">
        <v>12.6</v>
      </c>
      <c r="H102" s="10" t="n">
        <f aca="false">IF(AND(ISNUMBER(B102),ISNUMBER(C102)),ABS(C102-B102),"")</f>
        <v>2</v>
      </c>
      <c r="I102" s="10" t="n">
        <f aca="false">IF(AND(ISNUMBER(B102),ISNUMBER(D102)),ABS(D102-B102),"")</f>
        <v>0.5</v>
      </c>
      <c r="J102" s="10" t="n">
        <f aca="false">IF(AND(ISNUMBER(B102),ISNUMBER(E102)),ABS(E102-B102),"")</f>
        <v>3.2</v>
      </c>
      <c r="K102" s="10" t="n">
        <f aca="false">IF(AND(ISNUMBER(B102),ISNUMBER(F102)),ABS(F102-B102),"")</f>
        <v>1.1</v>
      </c>
      <c r="L102" s="10" t="n">
        <f aca="false">IF(AND(ISNUMBER(B102),ISNUMBER(G102)),ABS(G102-B102),"")</f>
        <v>0.6</v>
      </c>
    </row>
    <row r="103" customFormat="false" ht="15" hidden="false" customHeight="false" outlineLevel="0" collapsed="false">
      <c r="A103" s="13" t="s">
        <v>166</v>
      </c>
      <c r="B103" s="12"/>
      <c r="C103" s="12"/>
      <c r="D103" s="12"/>
      <c r="E103" s="12"/>
      <c r="F103" s="12"/>
      <c r="G103" s="12"/>
      <c r="H103" s="10" t="str">
        <f aca="false">IF(AND(ISNUMBER(B103),ISNUMBER(C103)),ABS(C103-B103),"")</f>
        <v/>
      </c>
      <c r="I103" s="10" t="str">
        <f aca="false">IF(AND(ISNUMBER(B103),ISNUMBER(D103)),ABS(D103-B103),"")</f>
        <v/>
      </c>
      <c r="J103" s="10" t="str">
        <f aca="false">IF(AND(ISNUMBER(B103),ISNUMBER(E103)),ABS(E103-B103),"")</f>
        <v/>
      </c>
      <c r="K103" s="10" t="str">
        <f aca="false">IF(AND(ISNUMBER(B103),ISNUMBER(F103)),ABS(F103-B103),"")</f>
        <v/>
      </c>
      <c r="L103" s="10" t="str">
        <f aca="false">IF(AND(ISNUMBER(B103),ISNUMBER(G103)),ABS(G103-B103),"")</f>
        <v/>
      </c>
    </row>
    <row r="104" customFormat="false" ht="15" hidden="false" customHeight="false" outlineLevel="0" collapsed="false">
      <c r="A104" s="22" t="s">
        <v>167</v>
      </c>
      <c r="H104" s="31" t="n">
        <f aca="false">IFERROR(AVERAGE(H99:H103),"–")</f>
        <v>1.25</v>
      </c>
      <c r="I104" s="31" t="n">
        <f aca="false">IFERROR(AVERAGE(I99:I103),"–")</f>
        <v>0.625</v>
      </c>
      <c r="J104" s="31" t="n">
        <f aca="false">IFERROR(AVERAGE(J99:J103),"–")</f>
        <v>2.3</v>
      </c>
      <c r="K104" s="31" t="n">
        <f aca="false">IFERROR(AVERAGE(K99:K103),"–")</f>
        <v>0.75</v>
      </c>
      <c r="L104" s="31" t="n">
        <f aca="false">IFERROR(AVERAGE(L99:L103),"–")</f>
        <v>0.433333333333333</v>
      </c>
    </row>
    <row r="105" customFormat="false" ht="15" hidden="false" customHeight="false" outlineLevel="0" collapsed="false">
      <c r="A105" s="11" t="s">
        <v>168</v>
      </c>
      <c r="H105" s="25" t="n">
        <f aca="false">COUNT(H99:H103)</f>
        <v>4</v>
      </c>
      <c r="I105" s="25" t="n">
        <f aca="false">COUNT(I99:I103)</f>
        <v>4</v>
      </c>
      <c r="J105" s="25" t="n">
        <f aca="false">COUNT(J99:J103)</f>
        <v>4</v>
      </c>
      <c r="K105" s="25" t="n">
        <f aca="false">COUNT(K99:K103)</f>
        <v>4</v>
      </c>
      <c r="L105" s="25" t="n">
        <f aca="false">COUNT(L99:L103)</f>
        <v>3</v>
      </c>
    </row>
    <row r="106" customFormat="false" ht="15" hidden="false" customHeight="false" outlineLevel="0" collapsed="false">
      <c r="A106" s="22" t="s">
        <v>169</v>
      </c>
      <c r="B106" s="30" t="str">
        <f aca="false">INDEX($C$98:$G$98,MATCH(MIN(H104:L104),H104:L104,0))</f>
        <v>AROME</v>
      </c>
    </row>
    <row r="107" customFormat="false" ht="15" hidden="false" customHeight="false" outlineLevel="0" collapsed="false">
      <c r="A107" s="22" t="s">
        <v>170</v>
      </c>
      <c r="B107" s="32" t="n">
        <f aca="false">IFERROR(SUMPRODUCT((B99:B103&lt;&gt;"")*(C99:C103&lt;&gt;""),B99:B103-C99:C103)/SUMPRODUCT((B99:B103&lt;&gt;"")*(C99:C103&lt;&gt;"")),"–")</f>
        <v>-1.25</v>
      </c>
      <c r="D107" s="28" t="s">
        <v>171</v>
      </c>
      <c r="E107" s="28"/>
      <c r="F107" s="28"/>
      <c r="G107" s="28"/>
      <c r="H107" s="28"/>
      <c r="I107" s="28"/>
      <c r="J107" s="28"/>
      <c r="K107" s="28"/>
      <c r="L107" s="28"/>
      <c r="M107" s="28"/>
    </row>
    <row r="109" customFormat="false" ht="15" hidden="false" customHeight="false" outlineLevel="0" collapsed="false">
      <c r="A109" s="3" t="s">
        <v>172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customFormat="false" ht="30" hidden="false" customHeight="true" outlineLevel="0" collapsed="false">
      <c r="A110" s="2" t="s">
        <v>173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5" hidden="false" customHeight="false" outlineLevel="0" collapsed="false">
      <c r="A111" s="11" t="s">
        <v>174</v>
      </c>
      <c r="B111" s="7" t="n">
        <v>11</v>
      </c>
      <c r="C111" s="11" t="s">
        <v>27</v>
      </c>
    </row>
    <row r="112" customFormat="false" ht="15" hidden="false" customHeight="false" outlineLevel="0" collapsed="false">
      <c r="A112" s="11" t="s">
        <v>175</v>
      </c>
      <c r="B112" s="7" t="n">
        <v>9.2</v>
      </c>
      <c r="C112" s="11" t="s">
        <v>27</v>
      </c>
    </row>
    <row r="113" customFormat="false" ht="15" hidden="false" customHeight="false" outlineLevel="0" collapsed="false">
      <c r="A113" s="11" t="s">
        <v>176</v>
      </c>
      <c r="B113" s="7" t="n">
        <v>12.1</v>
      </c>
      <c r="C113" s="11" t="s">
        <v>27</v>
      </c>
    </row>
    <row r="114" customFormat="false" ht="15" hidden="false" customHeight="false" outlineLevel="0" collapsed="false">
      <c r="A114" s="11" t="s">
        <v>177</v>
      </c>
      <c r="B114" s="7" t="n">
        <v>10.5</v>
      </c>
      <c r="C114" s="11" t="s">
        <v>27</v>
      </c>
    </row>
    <row r="115" customFormat="false" ht="15" hidden="false" customHeight="false" outlineLevel="0" collapsed="false">
      <c r="A115" s="11" t="s">
        <v>178</v>
      </c>
      <c r="B115" s="7" t="n">
        <v>30</v>
      </c>
      <c r="C115" s="11" t="s">
        <v>179</v>
      </c>
    </row>
    <row r="116" customFormat="false" ht="15" hidden="false" customHeight="false" outlineLevel="0" collapsed="false">
      <c r="A116" s="11" t="s">
        <v>180</v>
      </c>
      <c r="B116" s="9" t="n">
        <v>0.62</v>
      </c>
      <c r="C116" s="11" t="s">
        <v>181</v>
      </c>
    </row>
    <row r="117" customFormat="false" ht="15" hidden="false" customHeight="false" outlineLevel="0" collapsed="false">
      <c r="A117" s="11" t="s">
        <v>182</v>
      </c>
      <c r="B117" s="7" t="n">
        <v>0.3</v>
      </c>
      <c r="C117" s="11" t="s">
        <v>183</v>
      </c>
    </row>
    <row r="118" customFormat="false" ht="15" hidden="false" customHeight="false" outlineLevel="0" collapsed="false">
      <c r="A118" s="11" t="s">
        <v>184</v>
      </c>
      <c r="B118" s="7" t="n">
        <v>72</v>
      </c>
      <c r="C118" s="11" t="s">
        <v>179</v>
      </c>
    </row>
    <row r="119" customFormat="false" ht="15" hidden="false" customHeight="false" outlineLevel="0" collapsed="false">
      <c r="A119" s="11" t="s">
        <v>185</v>
      </c>
      <c r="B119" s="7" t="n">
        <v>4</v>
      </c>
      <c r="C119" s="11" t="s">
        <v>36</v>
      </c>
    </row>
    <row r="121" customFormat="false" ht="15" hidden="false" customHeight="false" outlineLevel="0" collapsed="false">
      <c r="A121" s="22" t="s">
        <v>186</v>
      </c>
      <c r="B121" s="31" t="n">
        <f aca="false">AVERAGE($B$111:$B$114)</f>
        <v>10.7</v>
      </c>
      <c r="C121" s="31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customFormat="false" ht="15" hidden="false" customHeight="false" outlineLevel="0" collapsed="false">
      <c r="A122" s="22" t="s">
        <v>187</v>
      </c>
      <c r="B122" s="27" t="n">
        <f aca="false">STDEV($B$111:$B$114)</f>
        <v>1.20277457017791</v>
      </c>
      <c r="C122" s="27"/>
      <c r="D122" s="28" t="s">
        <v>188</v>
      </c>
      <c r="E122" s="28"/>
      <c r="F122" s="28"/>
      <c r="G122" s="28"/>
      <c r="H122" s="28"/>
      <c r="I122" s="28"/>
      <c r="J122" s="28"/>
      <c r="K122" s="28"/>
      <c r="L122" s="28"/>
      <c r="M122" s="28"/>
    </row>
    <row r="123" customFormat="false" ht="15" hidden="false" customHeight="false" outlineLevel="0" collapsed="false">
      <c r="A123" s="22" t="s">
        <v>189</v>
      </c>
      <c r="B123" s="33" t="n">
        <f aca="false">MAX(0,1-B122/($B$117*B121))</f>
        <v>0.625303872218718</v>
      </c>
      <c r="C123" s="33"/>
      <c r="D123" s="28" t="s">
        <v>190</v>
      </c>
      <c r="E123" s="28"/>
      <c r="F123" s="28"/>
      <c r="G123" s="28"/>
      <c r="H123" s="28"/>
      <c r="I123" s="28"/>
      <c r="J123" s="28"/>
      <c r="K123" s="28"/>
      <c r="L123" s="28"/>
      <c r="M123" s="28"/>
    </row>
    <row r="124" customFormat="false" ht="15" hidden="false" customHeight="false" outlineLevel="0" collapsed="false">
      <c r="A124" s="22" t="s">
        <v>191</v>
      </c>
      <c r="B124" s="33" t="n">
        <f aca="false">0.5^($B$115/$B$118)</f>
        <v>0.749153538438341</v>
      </c>
      <c r="C124" s="33"/>
      <c r="D124" s="28" t="s">
        <v>192</v>
      </c>
      <c r="E124" s="28"/>
      <c r="F124" s="28"/>
      <c r="G124" s="28"/>
      <c r="H124" s="28"/>
      <c r="I124" s="28"/>
      <c r="J124" s="28"/>
      <c r="K124" s="28"/>
      <c r="L124" s="28"/>
      <c r="M124" s="28"/>
    </row>
    <row r="125" customFormat="false" ht="15" hidden="false" customHeight="false" outlineLevel="0" collapsed="false">
      <c r="A125" s="22" t="s">
        <v>193</v>
      </c>
      <c r="B125" s="33" t="n">
        <f aca="false">B123*B124*$B$116</f>
        <v>0.290438137252546</v>
      </c>
      <c r="C125" s="33"/>
      <c r="D125" s="28" t="s">
        <v>194</v>
      </c>
      <c r="E125" s="28"/>
      <c r="F125" s="28"/>
      <c r="G125" s="28"/>
      <c r="H125" s="28"/>
      <c r="I125" s="28"/>
      <c r="J125" s="28"/>
      <c r="K125" s="28"/>
      <c r="L125" s="28"/>
      <c r="M125" s="28"/>
    </row>
    <row r="126" customFormat="false" ht="15" hidden="false" customHeight="false" outlineLevel="0" collapsed="false">
      <c r="A126" s="22" t="s">
        <v>195</v>
      </c>
      <c r="B126" s="27" t="n">
        <f aca="false">$B$20+($B$119-$B$20)*B125</f>
        <v>3.07756957842831</v>
      </c>
      <c r="C126" s="27"/>
      <c r="D126" s="28" t="s">
        <v>196</v>
      </c>
      <c r="E126" s="28"/>
      <c r="F126" s="28"/>
      <c r="G126" s="28"/>
      <c r="H126" s="28"/>
      <c r="I126" s="28"/>
      <c r="J126" s="28"/>
      <c r="K126" s="28"/>
      <c r="L126" s="28"/>
      <c r="M126" s="28"/>
    </row>
    <row r="127" customFormat="false" ht="15" hidden="false" customHeight="false" outlineLevel="0" collapsed="false">
      <c r="A127" s="22" t="s">
        <v>197</v>
      </c>
      <c r="B127" s="30" t="str">
        <f aca="false">IF(B126&gt;=$B$22,"Likely epic",IF(B126&gt;=$B$21,"Likely great",IF(B126&gt;=$B$20,"Likely good","Not sure yet")))&amp;IF(B125&lt;0.4," · low certainty","")</f>
        <v>Likely good · low certainty</v>
      </c>
      <c r="C127" s="30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</sheetData>
  <mergeCells count="56">
    <mergeCell ref="A2:M2"/>
    <mergeCell ref="A5:M5"/>
    <mergeCell ref="D6:M6"/>
    <mergeCell ref="D7:M7"/>
    <mergeCell ref="D8:M8"/>
    <mergeCell ref="D9:M9"/>
    <mergeCell ref="D10:M10"/>
    <mergeCell ref="D11:M11"/>
    <mergeCell ref="D12:M12"/>
    <mergeCell ref="D13:M13"/>
    <mergeCell ref="D14:M14"/>
    <mergeCell ref="D15:M15"/>
    <mergeCell ref="D16:M16"/>
    <mergeCell ref="D17:M17"/>
    <mergeCell ref="D18:M18"/>
    <mergeCell ref="D19:M19"/>
    <mergeCell ref="D20:M20"/>
    <mergeCell ref="D21:M21"/>
    <mergeCell ref="D22:M22"/>
    <mergeCell ref="A25:M25"/>
    <mergeCell ref="A34:M34"/>
    <mergeCell ref="A49:M49"/>
    <mergeCell ref="A57:M57"/>
    <mergeCell ref="A70:M70"/>
    <mergeCell ref="C75:D75"/>
    <mergeCell ref="D79:M79"/>
    <mergeCell ref="A82:M82"/>
    <mergeCell ref="B89:C89"/>
    <mergeCell ref="D89:M89"/>
    <mergeCell ref="B90:C90"/>
    <mergeCell ref="D90:M90"/>
    <mergeCell ref="B91:C91"/>
    <mergeCell ref="D91:M91"/>
    <mergeCell ref="B92:C92"/>
    <mergeCell ref="D92:M92"/>
    <mergeCell ref="B93:C93"/>
    <mergeCell ref="D93:M93"/>
    <mergeCell ref="B94:C94"/>
    <mergeCell ref="D94:M94"/>
    <mergeCell ref="A97:M97"/>
    <mergeCell ref="D107:M107"/>
    <mergeCell ref="A110:M110"/>
    <mergeCell ref="B121:C121"/>
    <mergeCell ref="D121:M121"/>
    <mergeCell ref="B122:C122"/>
    <mergeCell ref="D122:M122"/>
    <mergeCell ref="B123:C123"/>
    <mergeCell ref="D123:M123"/>
    <mergeCell ref="B124:C124"/>
    <mergeCell ref="D124:M124"/>
    <mergeCell ref="B125:C125"/>
    <mergeCell ref="D125:M125"/>
    <mergeCell ref="B126:C126"/>
    <mergeCell ref="D126:M126"/>
    <mergeCell ref="B127:C127"/>
    <mergeCell ref="D127:M127"/>
  </mergeCells>
  <dataValidations count="1">
    <dataValidation allowBlank="false" errorStyle="stop" operator="between" showDropDown="false" showErrorMessage="false" showInputMessage="false" sqref="C39:C4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48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198</v>
      </c>
    </row>
    <row r="2" customFormat="false" ht="30" hidden="false" customHeight="true" outlineLevel="0" collapsed="false">
      <c r="A2" s="2" t="s">
        <v>199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200</v>
      </c>
      <c r="B4" s="4"/>
      <c r="C4" s="4"/>
      <c r="D4" s="4"/>
      <c r="E4" s="4"/>
    </row>
    <row r="5" customFormat="false" ht="15" hidden="false" customHeight="false" outlineLevel="0" collapsed="false">
      <c r="A5" s="34" t="s">
        <v>201</v>
      </c>
      <c r="B5" s="34" t="s">
        <v>202</v>
      </c>
      <c r="C5" s="34" t="s">
        <v>203</v>
      </c>
      <c r="D5" s="34" t="s">
        <v>204</v>
      </c>
      <c r="E5" s="34" t="s">
        <v>205</v>
      </c>
    </row>
    <row r="6" customFormat="false" ht="40.5" hidden="false" customHeight="true" outlineLevel="0" collapsed="false">
      <c r="A6" s="35" t="s">
        <v>206</v>
      </c>
      <c r="B6" s="35" t="s">
        <v>207</v>
      </c>
      <c r="C6" s="35" t="s">
        <v>208</v>
      </c>
      <c r="D6" s="35" t="s">
        <v>209</v>
      </c>
      <c r="E6" s="35" t="s">
        <v>210</v>
      </c>
    </row>
    <row r="7" customFormat="false" ht="27" hidden="false" customHeight="true" outlineLevel="0" collapsed="false">
      <c r="A7" s="35" t="s">
        <v>211</v>
      </c>
      <c r="B7" s="35" t="s">
        <v>212</v>
      </c>
      <c r="C7" s="35" t="s">
        <v>213</v>
      </c>
      <c r="D7" s="35" t="s">
        <v>214</v>
      </c>
      <c r="E7" s="35" t="s">
        <v>210</v>
      </c>
    </row>
    <row r="8" customFormat="false" ht="27" hidden="false" customHeight="true" outlineLevel="0" collapsed="false">
      <c r="A8" s="35" t="s">
        <v>215</v>
      </c>
      <c r="B8" s="35" t="s">
        <v>216</v>
      </c>
      <c r="C8" s="35" t="s">
        <v>217</v>
      </c>
      <c r="D8" s="35" t="s">
        <v>218</v>
      </c>
      <c r="E8" s="35" t="s">
        <v>219</v>
      </c>
    </row>
    <row r="9" customFormat="false" ht="15" hidden="false" customHeight="true" outlineLevel="0" collapsed="false">
      <c r="A9" s="35" t="s">
        <v>220</v>
      </c>
      <c r="B9" s="35" t="s">
        <v>221</v>
      </c>
      <c r="C9" s="35" t="s">
        <v>222</v>
      </c>
      <c r="D9" s="35" t="s">
        <v>223</v>
      </c>
      <c r="E9" s="35" t="s">
        <v>224</v>
      </c>
    </row>
    <row r="10" customFormat="false" ht="27" hidden="false" customHeight="true" outlineLevel="0" collapsed="false">
      <c r="A10" s="35" t="s">
        <v>225</v>
      </c>
      <c r="B10" s="35" t="s">
        <v>169</v>
      </c>
      <c r="C10" s="35" t="s">
        <v>226</v>
      </c>
      <c r="D10" s="35" t="s">
        <v>227</v>
      </c>
      <c r="E10" s="35" t="s">
        <v>224</v>
      </c>
    </row>
    <row r="11" customFormat="false" ht="15" hidden="false" customHeight="true" outlineLevel="0" collapsed="false">
      <c r="A11" s="35" t="s">
        <v>228</v>
      </c>
      <c r="B11" s="35" t="s">
        <v>229</v>
      </c>
      <c r="C11" s="35" t="s">
        <v>230</v>
      </c>
      <c r="D11" s="35" t="s">
        <v>231</v>
      </c>
      <c r="E11" s="35" t="s">
        <v>224</v>
      </c>
    </row>
    <row r="13" customFormat="false" ht="15" hidden="false" customHeight="false" outlineLevel="0" collapsed="false">
      <c r="A13" s="3" t="s">
        <v>232</v>
      </c>
      <c r="B13" s="4"/>
      <c r="C13" s="4"/>
      <c r="D13" s="4"/>
      <c r="E13" s="4"/>
    </row>
    <row r="14" customFormat="false" ht="15" hidden="false" customHeight="false" outlineLevel="0" collapsed="false">
      <c r="A14" s="34" t="s">
        <v>201</v>
      </c>
      <c r="B14" s="34" t="s">
        <v>202</v>
      </c>
      <c r="C14" s="34" t="s">
        <v>203</v>
      </c>
      <c r="D14" s="34" t="s">
        <v>204</v>
      </c>
      <c r="E14" s="34" t="s">
        <v>205</v>
      </c>
    </row>
    <row r="15" customFormat="false" ht="40.5" hidden="false" customHeight="true" outlineLevel="0" collapsed="false">
      <c r="A15" s="35" t="s">
        <v>233</v>
      </c>
      <c r="B15" s="35" t="s">
        <v>234</v>
      </c>
      <c r="C15" s="35" t="s">
        <v>235</v>
      </c>
      <c r="D15" s="35" t="s">
        <v>236</v>
      </c>
      <c r="E15" s="35" t="s">
        <v>237</v>
      </c>
    </row>
    <row r="16" customFormat="false" ht="27" hidden="false" customHeight="true" outlineLevel="0" collapsed="false">
      <c r="A16" s="35" t="s">
        <v>238</v>
      </c>
      <c r="B16" s="35" t="s">
        <v>239</v>
      </c>
      <c r="C16" s="35" t="s">
        <v>240</v>
      </c>
      <c r="D16" s="35" t="s">
        <v>241</v>
      </c>
      <c r="E16" s="35" t="s">
        <v>242</v>
      </c>
    </row>
    <row r="17" customFormat="false" ht="40.5" hidden="false" customHeight="true" outlineLevel="0" collapsed="false">
      <c r="A17" s="35" t="s">
        <v>243</v>
      </c>
      <c r="B17" s="35" t="s">
        <v>244</v>
      </c>
      <c r="C17" s="35" t="s">
        <v>245</v>
      </c>
      <c r="D17" s="35" t="s">
        <v>246</v>
      </c>
      <c r="E17" s="35" t="s">
        <v>247</v>
      </c>
    </row>
    <row r="18" customFormat="false" ht="27" hidden="false" customHeight="true" outlineLevel="0" collapsed="false">
      <c r="A18" s="35" t="s">
        <v>248</v>
      </c>
      <c r="B18" s="35" t="s">
        <v>249</v>
      </c>
      <c r="C18" s="35" t="s">
        <v>250</v>
      </c>
      <c r="D18" s="35" t="s">
        <v>251</v>
      </c>
      <c r="E18" s="35" t="s">
        <v>252</v>
      </c>
    </row>
    <row r="19" customFormat="false" ht="27" hidden="false" customHeight="true" outlineLevel="0" collapsed="false">
      <c r="A19" s="35" t="s">
        <v>253</v>
      </c>
      <c r="B19" s="35" t="s">
        <v>254</v>
      </c>
      <c r="C19" s="35" t="s">
        <v>255</v>
      </c>
      <c r="D19" s="35" t="s">
        <v>256</v>
      </c>
      <c r="E19" s="35" t="s">
        <v>257</v>
      </c>
    </row>
    <row r="20" customFormat="false" ht="40.5" hidden="false" customHeight="true" outlineLevel="0" collapsed="false">
      <c r="A20" s="35" t="s">
        <v>258</v>
      </c>
      <c r="B20" s="35" t="s">
        <v>259</v>
      </c>
      <c r="C20" s="35" t="s">
        <v>260</v>
      </c>
      <c r="D20" s="35" t="s">
        <v>261</v>
      </c>
      <c r="E20" s="35" t="s">
        <v>262</v>
      </c>
    </row>
    <row r="21" customFormat="false" ht="27" hidden="false" customHeight="true" outlineLevel="0" collapsed="false">
      <c r="A21" s="35" t="s">
        <v>263</v>
      </c>
      <c r="B21" s="35" t="s">
        <v>264</v>
      </c>
      <c r="C21" s="35" t="s">
        <v>265</v>
      </c>
      <c r="D21" s="35" t="s">
        <v>266</v>
      </c>
      <c r="E21" s="35" t="s">
        <v>267</v>
      </c>
    </row>
    <row r="22" customFormat="false" ht="27" hidden="false" customHeight="true" outlineLevel="0" collapsed="false">
      <c r="A22" s="35" t="s">
        <v>268</v>
      </c>
      <c r="B22" s="35" t="s">
        <v>269</v>
      </c>
      <c r="C22" s="35" t="s">
        <v>270</v>
      </c>
      <c r="D22" s="35" t="s">
        <v>271</v>
      </c>
      <c r="E22" s="35" t="s">
        <v>272</v>
      </c>
    </row>
    <row r="23" customFormat="false" ht="15" hidden="false" customHeight="true" outlineLevel="0" collapsed="false">
      <c r="A23" s="35" t="s">
        <v>273</v>
      </c>
      <c r="B23" s="35" t="s">
        <v>274</v>
      </c>
      <c r="C23" s="35" t="s">
        <v>275</v>
      </c>
      <c r="D23" s="35" t="s">
        <v>276</v>
      </c>
      <c r="E23" s="35" t="s">
        <v>267</v>
      </c>
    </row>
    <row r="24" customFormat="false" ht="27" hidden="false" customHeight="true" outlineLevel="0" collapsed="false">
      <c r="A24" s="35" t="s">
        <v>277</v>
      </c>
      <c r="B24" s="35" t="s">
        <v>197</v>
      </c>
      <c r="C24" s="35" t="s">
        <v>278</v>
      </c>
      <c r="D24" s="35" t="s">
        <v>279</v>
      </c>
      <c r="E24" s="35" t="s">
        <v>267</v>
      </c>
    </row>
    <row r="25" customFormat="false" ht="27" hidden="false" customHeight="true" outlineLevel="0" collapsed="false">
      <c r="A25" s="35" t="s">
        <v>280</v>
      </c>
      <c r="B25" s="35" t="s">
        <v>281</v>
      </c>
      <c r="C25" s="35" t="s">
        <v>282</v>
      </c>
      <c r="D25" s="35" t="s">
        <v>283</v>
      </c>
      <c r="E25" s="35" t="s">
        <v>284</v>
      </c>
    </row>
    <row r="26" customFormat="false" ht="27" hidden="false" customHeight="true" outlineLevel="0" collapsed="false">
      <c r="A26" s="35" t="s">
        <v>285</v>
      </c>
      <c r="B26" s="35" t="s">
        <v>144</v>
      </c>
      <c r="C26" s="35" t="s">
        <v>286</v>
      </c>
      <c r="D26" s="35" t="s">
        <v>287</v>
      </c>
      <c r="E26" s="35" t="s">
        <v>210</v>
      </c>
    </row>
    <row r="28" customFormat="false" ht="15" hidden="false" customHeight="false" outlineLevel="0" collapsed="false">
      <c r="A28" s="3" t="s">
        <v>288</v>
      </c>
      <c r="B28" s="4"/>
      <c r="C28" s="4"/>
      <c r="D28" s="4"/>
      <c r="E28" s="4"/>
    </row>
    <row r="29" customFormat="false" ht="15" hidden="false" customHeight="false" outlineLevel="0" collapsed="false">
      <c r="A29" s="34" t="s">
        <v>201</v>
      </c>
      <c r="B29" s="34" t="s">
        <v>202</v>
      </c>
      <c r="C29" s="34" t="s">
        <v>203</v>
      </c>
      <c r="D29" s="34" t="s">
        <v>204</v>
      </c>
      <c r="E29" s="34"/>
    </row>
    <row r="30" customFormat="false" ht="27" hidden="false" customHeight="true" outlineLevel="0" collapsed="false">
      <c r="A30" s="35" t="s">
        <v>289</v>
      </c>
      <c r="B30" s="35" t="s">
        <v>290</v>
      </c>
      <c r="C30" s="35" t="s">
        <v>291</v>
      </c>
      <c r="D30" s="35" t="s">
        <v>292</v>
      </c>
      <c r="E30" s="35"/>
    </row>
    <row r="31" customFormat="false" ht="15" hidden="false" customHeight="true" outlineLevel="0" collapsed="false">
      <c r="A31" s="35" t="s">
        <v>293</v>
      </c>
      <c r="B31" s="35" t="s">
        <v>294</v>
      </c>
      <c r="C31" s="35" t="s">
        <v>295</v>
      </c>
      <c r="D31" s="35"/>
      <c r="E31" s="35"/>
    </row>
    <row r="32" customFormat="false" ht="15" hidden="false" customHeight="true" outlineLevel="0" collapsed="false">
      <c r="A32" s="35" t="s">
        <v>296</v>
      </c>
      <c r="B32" s="35" t="s">
        <v>297</v>
      </c>
      <c r="C32" s="35" t="s">
        <v>298</v>
      </c>
      <c r="D32" s="35"/>
      <c r="E32" s="35"/>
    </row>
    <row r="33" customFormat="false" ht="27" hidden="false" customHeight="true" outlineLevel="0" collapsed="false">
      <c r="A33" s="35" t="s">
        <v>299</v>
      </c>
      <c r="B33" s="35" t="s">
        <v>300</v>
      </c>
      <c r="C33" s="35" t="s">
        <v>301</v>
      </c>
      <c r="D33" s="35" t="s">
        <v>302</v>
      </c>
      <c r="E33" s="35"/>
    </row>
    <row r="35" customFormat="false" ht="15" hidden="false" customHeight="false" outlineLevel="0" collapsed="false">
      <c r="A35" s="3" t="s">
        <v>303</v>
      </c>
      <c r="B35" s="4"/>
      <c r="C35" s="4"/>
      <c r="D35" s="4"/>
      <c r="E35" s="4"/>
    </row>
    <row r="36" customFormat="false" ht="15" hidden="false" customHeight="false" outlineLevel="0" collapsed="false">
      <c r="A36" s="34" t="s">
        <v>201</v>
      </c>
      <c r="B36" s="34" t="s">
        <v>304</v>
      </c>
      <c r="C36" s="34" t="s">
        <v>305</v>
      </c>
      <c r="D36" s="34" t="s">
        <v>204</v>
      </c>
      <c r="E36" s="34"/>
    </row>
    <row r="37" customFormat="false" ht="27" hidden="false" customHeight="true" outlineLevel="0" collapsed="false">
      <c r="A37" s="35" t="s">
        <v>306</v>
      </c>
      <c r="B37" s="35" t="s">
        <v>307</v>
      </c>
      <c r="C37" s="35" t="s">
        <v>308</v>
      </c>
      <c r="D37" s="35" t="s">
        <v>309</v>
      </c>
      <c r="E37" s="35"/>
    </row>
    <row r="38" customFormat="false" ht="27" hidden="false" customHeight="true" outlineLevel="0" collapsed="false">
      <c r="A38" s="35" t="s">
        <v>310</v>
      </c>
      <c r="B38" s="35" t="s">
        <v>311</v>
      </c>
      <c r="C38" s="35" t="s">
        <v>312</v>
      </c>
      <c r="D38" s="35" t="s">
        <v>313</v>
      </c>
      <c r="E38" s="35"/>
    </row>
    <row r="40" customFormat="false" ht="15" hidden="false" customHeight="false" outlineLevel="0" collapsed="false">
      <c r="A40" s="3" t="s">
        <v>314</v>
      </c>
      <c r="B40" s="4"/>
      <c r="C40" s="4"/>
      <c r="D40" s="4"/>
      <c r="E40" s="4"/>
    </row>
    <row r="41" customFormat="false" ht="15" hidden="false" customHeight="false" outlineLevel="0" collapsed="false">
      <c r="A41" s="34"/>
      <c r="B41" s="34" t="s">
        <v>315</v>
      </c>
      <c r="C41" s="34" t="s">
        <v>316</v>
      </c>
      <c r="D41" s="34" t="s">
        <v>317</v>
      </c>
      <c r="E41" s="34" t="s">
        <v>318</v>
      </c>
    </row>
    <row r="42" customFormat="false" ht="27" hidden="false" customHeight="true" outlineLevel="0" collapsed="false">
      <c r="A42" s="35"/>
      <c r="B42" s="35" t="s">
        <v>156</v>
      </c>
      <c r="C42" s="35" t="s">
        <v>319</v>
      </c>
      <c r="D42" s="35" t="s">
        <v>320</v>
      </c>
      <c r="E42" s="35" t="s">
        <v>321</v>
      </c>
    </row>
    <row r="43" customFormat="false" ht="27" hidden="false" customHeight="true" outlineLevel="0" collapsed="false">
      <c r="A43" s="35"/>
      <c r="B43" s="35" t="s">
        <v>157</v>
      </c>
      <c r="C43" s="35" t="s">
        <v>322</v>
      </c>
      <c r="D43" s="35" t="s">
        <v>323</v>
      </c>
      <c r="E43" s="35"/>
    </row>
    <row r="44" customFormat="false" ht="15" hidden="false" customHeight="true" outlineLevel="0" collapsed="false">
      <c r="A44" s="35"/>
      <c r="B44" s="35" t="s">
        <v>158</v>
      </c>
      <c r="C44" s="35" t="s">
        <v>324</v>
      </c>
      <c r="D44" s="35" t="s">
        <v>325</v>
      </c>
      <c r="E44" s="35"/>
    </row>
    <row r="45" customFormat="false" ht="15" hidden="false" customHeight="true" outlineLevel="0" collapsed="false">
      <c r="A45" s="35"/>
      <c r="B45" s="35" t="s">
        <v>159</v>
      </c>
      <c r="C45" s="35" t="s">
        <v>324</v>
      </c>
      <c r="D45" s="35" t="s">
        <v>326</v>
      </c>
      <c r="E45" s="35"/>
    </row>
    <row r="46" customFormat="false" ht="15" hidden="false" customHeight="true" outlineLevel="0" collapsed="false">
      <c r="A46" s="35"/>
      <c r="B46" s="35" t="s">
        <v>160</v>
      </c>
      <c r="C46" s="35" t="s">
        <v>327</v>
      </c>
      <c r="D46" s="35" t="s">
        <v>328</v>
      </c>
      <c r="E46" s="35"/>
    </row>
    <row r="47" customFormat="false" ht="15" hidden="false" customHeight="true" outlineLevel="0" collapsed="false">
      <c r="A47" s="35"/>
      <c r="B47" s="35" t="s">
        <v>329</v>
      </c>
      <c r="C47" s="35" t="s">
        <v>330</v>
      </c>
      <c r="D47" s="35" t="s">
        <v>331</v>
      </c>
      <c r="E47" s="35"/>
    </row>
    <row r="48" customFormat="false" ht="27" hidden="false" customHeight="true" outlineLevel="0" collapsed="false">
      <c r="A48" s="35"/>
      <c r="B48" s="35" t="s">
        <v>332</v>
      </c>
      <c r="C48" s="35" t="s">
        <v>333</v>
      </c>
      <c r="D48" s="35" t="s">
        <v>334</v>
      </c>
      <c r="E48" s="35" t="s">
        <v>335</v>
      </c>
    </row>
    <row r="49" customFormat="false" ht="54" hidden="false" customHeight="true" outlineLevel="0" collapsed="false">
      <c r="A49" s="35"/>
      <c r="B49" s="35" t="s">
        <v>336</v>
      </c>
      <c r="C49" s="35" t="s">
        <v>337</v>
      </c>
      <c r="D49" s="35" t="s">
        <v>338</v>
      </c>
      <c r="E49" s="35" t="s">
        <v>339</v>
      </c>
    </row>
    <row r="51" customFormat="false" ht="15" hidden="false" customHeight="false" outlineLevel="0" collapsed="false">
      <c r="A51" s="3" t="s">
        <v>340</v>
      </c>
      <c r="B51" s="4"/>
      <c r="C51" s="4"/>
      <c r="D51" s="4"/>
      <c r="E51" s="4"/>
    </row>
    <row r="52" customFormat="false" ht="15" hidden="false" customHeight="false" outlineLevel="0" collapsed="false">
      <c r="A52" s="34"/>
      <c r="B52" s="34" t="s">
        <v>341</v>
      </c>
      <c r="C52" s="34" t="s">
        <v>342</v>
      </c>
      <c r="D52" s="34" t="s">
        <v>343</v>
      </c>
      <c r="E52" s="34" t="s">
        <v>344</v>
      </c>
    </row>
    <row r="53" customFormat="false" ht="40.5" hidden="false" customHeight="true" outlineLevel="0" collapsed="false">
      <c r="A53" s="35" t="s">
        <v>345</v>
      </c>
      <c r="B53" s="35" t="s">
        <v>346</v>
      </c>
      <c r="C53" s="35" t="s">
        <v>347</v>
      </c>
      <c r="D53" s="35" t="s">
        <v>348</v>
      </c>
      <c r="E53" s="35" t="s">
        <v>349</v>
      </c>
    </row>
    <row r="54" customFormat="false" ht="27" hidden="false" customHeight="true" outlineLevel="0" collapsed="false">
      <c r="A54" s="35" t="s">
        <v>350</v>
      </c>
      <c r="B54" s="35" t="s">
        <v>189</v>
      </c>
      <c r="C54" s="35" t="s">
        <v>351</v>
      </c>
      <c r="D54" s="35" t="s">
        <v>352</v>
      </c>
      <c r="E54" s="35" t="s">
        <v>353</v>
      </c>
    </row>
    <row r="55" customFormat="false" ht="15" hidden="false" customHeight="true" outlineLevel="0" collapsed="false">
      <c r="A55" s="35" t="s">
        <v>354</v>
      </c>
      <c r="B55" s="35" t="s">
        <v>355</v>
      </c>
      <c r="C55" s="35" t="s">
        <v>356</v>
      </c>
      <c r="D55" s="35" t="s">
        <v>357</v>
      </c>
      <c r="E55" s="35" t="s">
        <v>358</v>
      </c>
    </row>
    <row r="56" customFormat="false" ht="27" hidden="false" customHeight="true" outlineLevel="0" collapsed="false">
      <c r="A56" s="35" t="s">
        <v>359</v>
      </c>
      <c r="B56" s="35" t="s">
        <v>360</v>
      </c>
      <c r="C56" s="35" t="s">
        <v>361</v>
      </c>
      <c r="D56" s="35" t="s">
        <v>362</v>
      </c>
      <c r="E56" s="35" t="s">
        <v>363</v>
      </c>
    </row>
    <row r="57" customFormat="false" ht="27" hidden="false" customHeight="true" outlineLevel="0" collapsed="false">
      <c r="A57" s="35" t="s">
        <v>364</v>
      </c>
      <c r="B57" s="35" t="s">
        <v>365</v>
      </c>
      <c r="C57" s="35" t="s">
        <v>366</v>
      </c>
      <c r="D57" s="35" t="s">
        <v>367</v>
      </c>
      <c r="E57" s="35" t="s">
        <v>368</v>
      </c>
    </row>
    <row r="59" customFormat="false" ht="15" hidden="false" customHeight="false" outlineLevel="0" collapsed="false">
      <c r="A59" s="3" t="s">
        <v>369</v>
      </c>
      <c r="B59" s="4"/>
      <c r="C59" s="4"/>
      <c r="D59" s="4"/>
      <c r="E59" s="4"/>
    </row>
    <row r="60" customFormat="false" ht="15" hidden="false" customHeight="false" outlineLevel="0" collapsed="false">
      <c r="A60" s="34" t="s">
        <v>370</v>
      </c>
      <c r="B60" s="34" t="s">
        <v>371</v>
      </c>
      <c r="C60" s="34" t="s">
        <v>202</v>
      </c>
      <c r="D60" s="34" t="s">
        <v>372</v>
      </c>
      <c r="E60" s="34" t="s">
        <v>373</v>
      </c>
    </row>
    <row r="61" customFormat="false" ht="27" hidden="false" customHeight="true" outlineLevel="0" collapsed="false">
      <c r="A61" s="35" t="s">
        <v>374</v>
      </c>
      <c r="B61" s="35" t="s">
        <v>375</v>
      </c>
      <c r="C61" s="35" t="s">
        <v>376</v>
      </c>
      <c r="D61" s="35" t="s">
        <v>377</v>
      </c>
      <c r="E61" s="35" t="s">
        <v>125</v>
      </c>
    </row>
    <row r="62" customFormat="false" ht="27" hidden="false" customHeight="true" outlineLevel="0" collapsed="false">
      <c r="A62" s="35" t="s">
        <v>378</v>
      </c>
      <c r="B62" s="35" t="s">
        <v>379</v>
      </c>
      <c r="C62" s="35" t="s">
        <v>380</v>
      </c>
      <c r="D62" s="35" t="s">
        <v>381</v>
      </c>
      <c r="E62" s="35" t="s">
        <v>382</v>
      </c>
    </row>
    <row r="63" customFormat="false" ht="15" hidden="false" customHeight="true" outlineLevel="0" collapsed="false">
      <c r="A63" s="35" t="s">
        <v>383</v>
      </c>
      <c r="B63" s="35" t="s">
        <v>384</v>
      </c>
      <c r="C63" s="35" t="s">
        <v>385</v>
      </c>
      <c r="D63" s="35" t="s">
        <v>386</v>
      </c>
      <c r="E63" s="35" t="s">
        <v>125</v>
      </c>
    </row>
    <row r="64" customFormat="false" ht="15" hidden="false" customHeight="true" outlineLevel="0" collapsed="false">
      <c r="A64" s="35" t="s">
        <v>387</v>
      </c>
      <c r="B64" s="35" t="s">
        <v>388</v>
      </c>
      <c r="C64" s="35" t="s">
        <v>389</v>
      </c>
      <c r="D64" s="35" t="s">
        <v>390</v>
      </c>
      <c r="E64" s="35" t="s">
        <v>124</v>
      </c>
    </row>
    <row r="65" customFormat="false" ht="27" hidden="false" customHeight="true" outlineLevel="0" collapsed="false">
      <c r="A65" s="35" t="s">
        <v>391</v>
      </c>
      <c r="B65" s="35" t="s">
        <v>392</v>
      </c>
      <c r="C65" s="35" t="s">
        <v>393</v>
      </c>
      <c r="D65" s="35" t="s">
        <v>394</v>
      </c>
      <c r="E65" s="35" t="s">
        <v>124</v>
      </c>
    </row>
    <row r="66" customFormat="false" ht="27" hidden="false" customHeight="true" outlineLevel="0" collapsed="false">
      <c r="A66" s="35" t="s">
        <v>395</v>
      </c>
      <c r="B66" s="35" t="s">
        <v>396</v>
      </c>
      <c r="C66" s="35" t="s">
        <v>397</v>
      </c>
      <c r="D66" s="35" t="s">
        <v>398</v>
      </c>
      <c r="E66" s="35" t="s">
        <v>124</v>
      </c>
    </row>
    <row r="67" customFormat="false" ht="15" hidden="false" customHeight="true" outlineLevel="0" collapsed="false">
      <c r="A67" s="35" t="s">
        <v>399</v>
      </c>
      <c r="B67" s="35" t="s">
        <v>400</v>
      </c>
      <c r="C67" s="35" t="s">
        <v>401</v>
      </c>
      <c r="D67" s="35" t="s">
        <v>402</v>
      </c>
      <c r="E67" s="35" t="s">
        <v>403</v>
      </c>
    </row>
    <row r="68" customFormat="false" ht="15" hidden="false" customHeight="true" outlineLevel="0" collapsed="false">
      <c r="A68" s="35" t="s">
        <v>404</v>
      </c>
      <c r="B68" s="35" t="s">
        <v>405</v>
      </c>
      <c r="C68" s="35" t="s">
        <v>406</v>
      </c>
      <c r="D68" s="35" t="s">
        <v>407</v>
      </c>
      <c r="E68" s="35" t="s">
        <v>382</v>
      </c>
    </row>
    <row r="69" customFormat="false" ht="27" hidden="false" customHeight="true" outlineLevel="0" collapsed="false">
      <c r="A69" s="35" t="s">
        <v>408</v>
      </c>
      <c r="B69" s="35" t="s">
        <v>409</v>
      </c>
      <c r="C69" s="35" t="s">
        <v>410</v>
      </c>
      <c r="D69" s="35" t="s">
        <v>411</v>
      </c>
      <c r="E69" s="35" t="s">
        <v>382</v>
      </c>
    </row>
    <row r="70" customFormat="false" ht="27" hidden="false" customHeight="true" outlineLevel="0" collapsed="false">
      <c r="A70" s="35" t="s">
        <v>412</v>
      </c>
      <c r="B70" s="35" t="s">
        <v>413</v>
      </c>
      <c r="C70" s="35" t="s">
        <v>414</v>
      </c>
      <c r="D70" s="35" t="s">
        <v>415</v>
      </c>
      <c r="E70" s="35" t="s">
        <v>382</v>
      </c>
    </row>
    <row r="71" customFormat="false" ht="27" hidden="false" customHeight="true" outlineLevel="0" collapsed="false">
      <c r="A71" s="35" t="s">
        <v>416</v>
      </c>
      <c r="B71" s="35" t="s">
        <v>417</v>
      </c>
      <c r="C71" s="35" t="s">
        <v>418</v>
      </c>
      <c r="D71" s="35" t="s">
        <v>419</v>
      </c>
      <c r="E71" s="35" t="s">
        <v>420</v>
      </c>
    </row>
    <row r="72" customFormat="false" ht="27" hidden="false" customHeight="true" outlineLevel="0" collapsed="false">
      <c r="A72" s="35" t="s">
        <v>421</v>
      </c>
      <c r="B72" s="35" t="s">
        <v>422</v>
      </c>
      <c r="C72" s="35" t="s">
        <v>423</v>
      </c>
      <c r="D72" s="35" t="s">
        <v>424</v>
      </c>
      <c r="E72" s="35" t="s">
        <v>210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2026-10-03T09:48:46Z</dcterms:created>
  <dc:creator>openpyxl</dc:creator>
  <dc:description/>
  <dc:language>en-US</dc:language>
  <cp:lastModifiedBy/>
  <dcterms:modified xsi:type="dcterms:W3CDTF">2026-10-03T09:48:46Z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